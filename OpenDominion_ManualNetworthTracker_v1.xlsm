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 codeName="{1AED2BDD-1FA3-CEF2-32D4-FBADEFEB71EE}"/>
  <workbookPr date1904="1" codeName="ThisWorkbook"/>
  <mc:AlternateContent xmlns:mc="http://schemas.openxmlformats.org/markup-compatibility/2006">
    <mc:Choice Requires="x15">
      <x15ac:absPath xmlns:x15ac="http://schemas.microsoft.com/office/spreadsheetml/2010/11/ac" url="C:\Users\Kristine\Documents\Dominion\"/>
    </mc:Choice>
  </mc:AlternateContent>
  <xr:revisionPtr revIDLastSave="0" documentId="13_ncr:1_{34B735D9-B0FE-428D-A86D-76C745E43B57}" xr6:coauthVersionLast="44" xr6:coauthVersionMax="44" xr10:uidLastSave="{00000000-0000-0000-0000-000000000000}"/>
  <bookViews>
    <workbookView xWindow="-120" yWindow="-120" windowWidth="29040" windowHeight="15840" tabRatio="731" activeTab="1" xr2:uid="{00000000-000D-0000-FFFF-FFFF00000000}"/>
  </bookViews>
  <sheets>
    <sheet name="News" sheetId="10" r:id="rId1"/>
    <sheet name="NW - Realm" sheetId="7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44" i="7" l="1"/>
  <c r="L144" i="7"/>
  <c r="M144" i="7"/>
  <c r="N144" i="7"/>
  <c r="O144" i="7"/>
  <c r="Z144" i="7"/>
  <c r="AA144" i="7"/>
  <c r="AB144" i="7"/>
  <c r="AC144" i="7"/>
  <c r="AD144" i="7"/>
  <c r="M145" i="7"/>
  <c r="N145" i="7"/>
  <c r="O145" i="7"/>
  <c r="AB145" i="7"/>
  <c r="AC145" i="7"/>
  <c r="AD145" i="7"/>
  <c r="K146" i="7"/>
  <c r="L146" i="7"/>
  <c r="M146" i="7"/>
  <c r="N146" i="7"/>
  <c r="O146" i="7"/>
  <c r="Z146" i="7"/>
  <c r="AA146" i="7"/>
  <c r="AB146" i="7"/>
  <c r="AC146" i="7"/>
  <c r="AD146" i="7"/>
  <c r="M147" i="7"/>
  <c r="N147" i="7"/>
  <c r="O147" i="7"/>
  <c r="AB147" i="7"/>
  <c r="AC147" i="7"/>
  <c r="AD147" i="7"/>
  <c r="K109" i="7"/>
  <c r="L109" i="7"/>
  <c r="M109" i="7"/>
  <c r="N109" i="7"/>
  <c r="O109" i="7"/>
  <c r="Z109" i="7"/>
  <c r="AA109" i="7"/>
  <c r="AB109" i="7"/>
  <c r="AC109" i="7"/>
  <c r="AD109" i="7"/>
  <c r="M110" i="7"/>
  <c r="N110" i="7"/>
  <c r="O110" i="7"/>
  <c r="AB110" i="7"/>
  <c r="AC110" i="7"/>
  <c r="AD110" i="7"/>
  <c r="K111" i="7"/>
  <c r="L111" i="7"/>
  <c r="M111" i="7"/>
  <c r="N111" i="7"/>
  <c r="O111" i="7"/>
  <c r="Z111" i="7"/>
  <c r="AA111" i="7"/>
  <c r="AB111" i="7"/>
  <c r="AC111" i="7"/>
  <c r="AD111" i="7"/>
  <c r="M112" i="7"/>
  <c r="N112" i="7"/>
  <c r="O112" i="7"/>
  <c r="AB112" i="7"/>
  <c r="AC112" i="7"/>
  <c r="AD112" i="7"/>
  <c r="K113" i="7"/>
  <c r="L113" i="7"/>
  <c r="M113" i="7"/>
  <c r="N113" i="7"/>
  <c r="O113" i="7"/>
  <c r="M114" i="7"/>
  <c r="N114" i="7"/>
  <c r="O114" i="7"/>
  <c r="K115" i="7"/>
  <c r="L115" i="7"/>
  <c r="M115" i="7"/>
  <c r="N115" i="7"/>
  <c r="O115" i="7"/>
  <c r="M116" i="7"/>
  <c r="N116" i="7"/>
  <c r="O116" i="7"/>
  <c r="K117" i="7"/>
  <c r="L117" i="7"/>
  <c r="M117" i="7"/>
  <c r="N117" i="7"/>
  <c r="O117" i="7"/>
  <c r="M118" i="7"/>
  <c r="N118" i="7"/>
  <c r="O118" i="7"/>
  <c r="K119" i="7"/>
  <c r="L119" i="7"/>
  <c r="M119" i="7"/>
  <c r="N119" i="7"/>
  <c r="O119" i="7"/>
  <c r="M120" i="7"/>
  <c r="N120" i="7"/>
  <c r="O120" i="7"/>
  <c r="K121" i="7"/>
  <c r="L121" i="7"/>
  <c r="M121" i="7"/>
  <c r="N121" i="7"/>
  <c r="O121" i="7"/>
  <c r="M122" i="7"/>
  <c r="N122" i="7"/>
  <c r="O122" i="7"/>
  <c r="K123" i="7"/>
  <c r="L123" i="7"/>
  <c r="M123" i="7"/>
  <c r="N123" i="7"/>
  <c r="O123" i="7"/>
  <c r="M124" i="7"/>
  <c r="N124" i="7"/>
  <c r="O124" i="7"/>
  <c r="K125" i="7"/>
  <c r="L125" i="7"/>
  <c r="M125" i="7"/>
  <c r="N125" i="7"/>
  <c r="O125" i="7"/>
  <c r="M126" i="7"/>
  <c r="N126" i="7"/>
  <c r="O126" i="7"/>
  <c r="K127" i="7"/>
  <c r="L127" i="7"/>
  <c r="M127" i="7"/>
  <c r="N127" i="7"/>
  <c r="O127" i="7"/>
  <c r="M128" i="7"/>
  <c r="N128" i="7"/>
  <c r="O128" i="7"/>
  <c r="K129" i="7"/>
  <c r="L129" i="7"/>
  <c r="M129" i="7"/>
  <c r="N129" i="7"/>
  <c r="O129" i="7"/>
  <c r="M130" i="7"/>
  <c r="N130" i="7"/>
  <c r="O130" i="7"/>
  <c r="K131" i="7"/>
  <c r="L131" i="7"/>
  <c r="M131" i="7"/>
  <c r="N131" i="7"/>
  <c r="O131" i="7"/>
  <c r="M132" i="7"/>
  <c r="N132" i="7"/>
  <c r="O132" i="7"/>
  <c r="K133" i="7"/>
  <c r="L133" i="7"/>
  <c r="M133" i="7"/>
  <c r="N133" i="7"/>
  <c r="O133" i="7"/>
  <c r="M134" i="7"/>
  <c r="N134" i="7"/>
  <c r="O134" i="7"/>
  <c r="K135" i="7"/>
  <c r="L135" i="7"/>
  <c r="M135" i="7"/>
  <c r="N135" i="7"/>
  <c r="O135" i="7"/>
  <c r="M136" i="7"/>
  <c r="N136" i="7"/>
  <c r="O136" i="7"/>
  <c r="K137" i="7"/>
  <c r="L137" i="7"/>
  <c r="M137" i="7"/>
  <c r="N137" i="7"/>
  <c r="O137" i="7"/>
  <c r="M138" i="7"/>
  <c r="N138" i="7"/>
  <c r="O138" i="7"/>
  <c r="K74" i="7"/>
  <c r="L74" i="7"/>
  <c r="M74" i="7"/>
  <c r="N74" i="7"/>
  <c r="Z74" i="7"/>
  <c r="AA74" i="7"/>
  <c r="AB74" i="7"/>
  <c r="AC74" i="7"/>
  <c r="M75" i="7"/>
  <c r="O74" i="7" s="1"/>
  <c r="N75" i="7"/>
  <c r="O75" i="7" s="1"/>
  <c r="AB75" i="7"/>
  <c r="AD74" i="7" s="1"/>
  <c r="AC75" i="7"/>
  <c r="AD75" i="7"/>
  <c r="K76" i="7"/>
  <c r="L76" i="7"/>
  <c r="M76" i="7"/>
  <c r="N76" i="7"/>
  <c r="Z76" i="7"/>
  <c r="AA76" i="7"/>
  <c r="AB76" i="7"/>
  <c r="AC76" i="7"/>
  <c r="M77" i="7"/>
  <c r="O76" i="7" s="1"/>
  <c r="N77" i="7"/>
  <c r="O77" i="7" s="1"/>
  <c r="AB77" i="7"/>
  <c r="AD76" i="7" s="1"/>
  <c r="AC77" i="7"/>
  <c r="AD77" i="7"/>
  <c r="K78" i="7"/>
  <c r="L78" i="7"/>
  <c r="M78" i="7"/>
  <c r="N78" i="7"/>
  <c r="O78" i="7"/>
  <c r="M79" i="7"/>
  <c r="N79" i="7"/>
  <c r="O79" i="7"/>
  <c r="K80" i="7"/>
  <c r="L80" i="7"/>
  <c r="M80" i="7"/>
  <c r="N80" i="7"/>
  <c r="O80" i="7"/>
  <c r="M81" i="7"/>
  <c r="N81" i="7"/>
  <c r="O81" i="7"/>
  <c r="K82" i="7"/>
  <c r="L82" i="7"/>
  <c r="M82" i="7"/>
  <c r="N82" i="7"/>
  <c r="O82" i="7"/>
  <c r="M83" i="7"/>
  <c r="N83" i="7"/>
  <c r="O83" i="7"/>
  <c r="K84" i="7"/>
  <c r="L84" i="7"/>
  <c r="M84" i="7"/>
  <c r="N84" i="7"/>
  <c r="O84" i="7"/>
  <c r="M85" i="7"/>
  <c r="N85" i="7"/>
  <c r="O85" i="7"/>
  <c r="K86" i="7"/>
  <c r="L86" i="7"/>
  <c r="M86" i="7"/>
  <c r="N86" i="7"/>
  <c r="O86" i="7"/>
  <c r="M87" i="7"/>
  <c r="N87" i="7"/>
  <c r="O87" i="7"/>
  <c r="K88" i="7"/>
  <c r="L88" i="7"/>
  <c r="M88" i="7"/>
  <c r="N88" i="7"/>
  <c r="O88" i="7"/>
  <c r="M89" i="7"/>
  <c r="N89" i="7"/>
  <c r="O89" i="7"/>
  <c r="K90" i="7"/>
  <c r="L90" i="7"/>
  <c r="M90" i="7"/>
  <c r="N90" i="7"/>
  <c r="O90" i="7"/>
  <c r="M91" i="7"/>
  <c r="N91" i="7"/>
  <c r="O91" i="7"/>
  <c r="K92" i="7"/>
  <c r="L92" i="7"/>
  <c r="M92" i="7"/>
  <c r="N92" i="7"/>
  <c r="O92" i="7"/>
  <c r="M93" i="7"/>
  <c r="N93" i="7"/>
  <c r="O93" i="7"/>
  <c r="K94" i="7"/>
  <c r="L94" i="7"/>
  <c r="M94" i="7"/>
  <c r="N94" i="7"/>
  <c r="O94" i="7"/>
  <c r="M95" i="7"/>
  <c r="N95" i="7"/>
  <c r="O95" i="7"/>
  <c r="K96" i="7"/>
  <c r="L96" i="7"/>
  <c r="M96" i="7"/>
  <c r="N96" i="7"/>
  <c r="O96" i="7"/>
  <c r="M97" i="7"/>
  <c r="N97" i="7"/>
  <c r="O97" i="7"/>
  <c r="K98" i="7"/>
  <c r="L98" i="7"/>
  <c r="M98" i="7"/>
  <c r="N98" i="7"/>
  <c r="O98" i="7"/>
  <c r="M99" i="7"/>
  <c r="N99" i="7"/>
  <c r="O99" i="7"/>
  <c r="K100" i="7"/>
  <c r="L100" i="7"/>
  <c r="M100" i="7"/>
  <c r="N100" i="7"/>
  <c r="O100" i="7"/>
  <c r="M101" i="7"/>
  <c r="N101" i="7"/>
  <c r="O101" i="7"/>
  <c r="K102" i="7"/>
  <c r="L102" i="7"/>
  <c r="M102" i="7"/>
  <c r="N102" i="7"/>
  <c r="O102" i="7"/>
  <c r="M103" i="7"/>
  <c r="N103" i="7"/>
  <c r="O103" i="7"/>
  <c r="N11" i="7"/>
  <c r="N348" i="7" l="1"/>
  <c r="O348" i="7" s="1"/>
  <c r="M348" i="7"/>
  <c r="O347" i="7" s="1"/>
  <c r="N347" i="7"/>
  <c r="M347" i="7"/>
  <c r="L347" i="7"/>
  <c r="K347" i="7"/>
  <c r="N346" i="7"/>
  <c r="O346" i="7" s="1"/>
  <c r="M346" i="7"/>
  <c r="O345" i="7" s="1"/>
  <c r="N345" i="7"/>
  <c r="M345" i="7"/>
  <c r="L345" i="7"/>
  <c r="K345" i="7"/>
  <c r="N344" i="7"/>
  <c r="M344" i="7"/>
  <c r="N343" i="7"/>
  <c r="M343" i="7"/>
  <c r="L343" i="7"/>
  <c r="K343" i="7"/>
  <c r="N342" i="7"/>
  <c r="M342" i="7"/>
  <c r="N341" i="7"/>
  <c r="M341" i="7"/>
  <c r="O341" i="7" s="1"/>
  <c r="L341" i="7"/>
  <c r="K341" i="7"/>
  <c r="N340" i="7"/>
  <c r="M340" i="7"/>
  <c r="N339" i="7"/>
  <c r="M339" i="7"/>
  <c r="L339" i="7"/>
  <c r="K339" i="7"/>
  <c r="N338" i="7"/>
  <c r="O338" i="7" s="1"/>
  <c r="M338" i="7"/>
  <c r="N337" i="7"/>
  <c r="M337" i="7"/>
  <c r="L337" i="7"/>
  <c r="K337" i="7"/>
  <c r="N336" i="7"/>
  <c r="M336" i="7"/>
  <c r="O335" i="7" s="1"/>
  <c r="N335" i="7"/>
  <c r="M335" i="7"/>
  <c r="L335" i="7"/>
  <c r="K335" i="7"/>
  <c r="N334" i="7"/>
  <c r="M334" i="7"/>
  <c r="N333" i="7"/>
  <c r="M333" i="7"/>
  <c r="L333" i="7"/>
  <c r="K333" i="7"/>
  <c r="N332" i="7"/>
  <c r="M332" i="7"/>
  <c r="O331" i="7" s="1"/>
  <c r="N331" i="7"/>
  <c r="M331" i="7"/>
  <c r="L331" i="7"/>
  <c r="K331" i="7"/>
  <c r="N330" i="7"/>
  <c r="O330" i="7" s="1"/>
  <c r="M330" i="7"/>
  <c r="N329" i="7"/>
  <c r="M329" i="7"/>
  <c r="L329" i="7"/>
  <c r="K329" i="7"/>
  <c r="N328" i="7"/>
  <c r="M328" i="7"/>
  <c r="O327" i="7" s="1"/>
  <c r="N327" i="7"/>
  <c r="M327" i="7"/>
  <c r="L327" i="7"/>
  <c r="K327" i="7"/>
  <c r="N326" i="7"/>
  <c r="M326" i="7"/>
  <c r="N325" i="7"/>
  <c r="M325" i="7"/>
  <c r="O325" i="7" s="1"/>
  <c r="L325" i="7"/>
  <c r="K325" i="7"/>
  <c r="N324" i="7"/>
  <c r="M324" i="7"/>
  <c r="N323" i="7"/>
  <c r="M323" i="7"/>
  <c r="O323" i="7" s="1"/>
  <c r="L323" i="7"/>
  <c r="K323" i="7"/>
  <c r="N322" i="7"/>
  <c r="M322" i="7"/>
  <c r="N321" i="7"/>
  <c r="M321" i="7"/>
  <c r="L321" i="7"/>
  <c r="K321" i="7"/>
  <c r="N320" i="7"/>
  <c r="M320" i="7"/>
  <c r="N319" i="7"/>
  <c r="M319" i="7"/>
  <c r="L319" i="7"/>
  <c r="K319" i="7"/>
  <c r="N313" i="7"/>
  <c r="M313" i="7"/>
  <c r="O312" i="7" s="1"/>
  <c r="N312" i="7"/>
  <c r="M312" i="7"/>
  <c r="L312" i="7"/>
  <c r="K312" i="7"/>
  <c r="N311" i="7"/>
  <c r="M311" i="7"/>
  <c r="N310" i="7"/>
  <c r="M310" i="7"/>
  <c r="L310" i="7"/>
  <c r="K310" i="7"/>
  <c r="N309" i="7"/>
  <c r="M309" i="7"/>
  <c r="N308" i="7"/>
  <c r="M308" i="7"/>
  <c r="L308" i="7"/>
  <c r="K308" i="7"/>
  <c r="N307" i="7"/>
  <c r="M307" i="7"/>
  <c r="N306" i="7"/>
  <c r="M306" i="7"/>
  <c r="L306" i="7"/>
  <c r="K306" i="7"/>
  <c r="N305" i="7"/>
  <c r="M305" i="7"/>
  <c r="O304" i="7" s="1"/>
  <c r="N304" i="7"/>
  <c r="M304" i="7"/>
  <c r="L304" i="7"/>
  <c r="K304" i="7"/>
  <c r="N303" i="7"/>
  <c r="O303" i="7" s="1"/>
  <c r="M303" i="7"/>
  <c r="N302" i="7"/>
  <c r="M302" i="7"/>
  <c r="L302" i="7"/>
  <c r="K302" i="7"/>
  <c r="N301" i="7"/>
  <c r="M301" i="7"/>
  <c r="N300" i="7"/>
  <c r="M300" i="7"/>
  <c r="L300" i="7"/>
  <c r="K300" i="7"/>
  <c r="N299" i="7"/>
  <c r="M299" i="7"/>
  <c r="N298" i="7"/>
  <c r="M298" i="7"/>
  <c r="L298" i="7"/>
  <c r="K298" i="7"/>
  <c r="N297" i="7"/>
  <c r="M297" i="7"/>
  <c r="O296" i="7" s="1"/>
  <c r="N296" i="7"/>
  <c r="M296" i="7"/>
  <c r="L296" i="7"/>
  <c r="K296" i="7"/>
  <c r="N295" i="7"/>
  <c r="O295" i="7" s="1"/>
  <c r="M295" i="7"/>
  <c r="N294" i="7"/>
  <c r="M294" i="7"/>
  <c r="L294" i="7"/>
  <c r="K294" i="7"/>
  <c r="N293" i="7"/>
  <c r="M293" i="7"/>
  <c r="N292" i="7"/>
  <c r="M292" i="7"/>
  <c r="L292" i="7"/>
  <c r="K292" i="7"/>
  <c r="N291" i="7"/>
  <c r="M291" i="7"/>
  <c r="N290" i="7"/>
  <c r="M290" i="7"/>
  <c r="L290" i="7"/>
  <c r="K290" i="7"/>
  <c r="N289" i="7"/>
  <c r="M289" i="7"/>
  <c r="O288" i="7" s="1"/>
  <c r="N288" i="7"/>
  <c r="M288" i="7"/>
  <c r="L288" i="7"/>
  <c r="K288" i="7"/>
  <c r="N287" i="7"/>
  <c r="O287" i="7" s="1"/>
  <c r="M287" i="7"/>
  <c r="N286" i="7"/>
  <c r="M286" i="7"/>
  <c r="L286" i="7"/>
  <c r="K286" i="7"/>
  <c r="N285" i="7"/>
  <c r="M285" i="7"/>
  <c r="N284" i="7"/>
  <c r="M284" i="7"/>
  <c r="L284" i="7"/>
  <c r="K284" i="7"/>
  <c r="N278" i="7"/>
  <c r="M278" i="7"/>
  <c r="N277" i="7"/>
  <c r="M277" i="7"/>
  <c r="L277" i="7"/>
  <c r="K277" i="7"/>
  <c r="N276" i="7"/>
  <c r="M276" i="7"/>
  <c r="O275" i="7" s="1"/>
  <c r="N275" i="7"/>
  <c r="M275" i="7"/>
  <c r="L275" i="7"/>
  <c r="K275" i="7"/>
  <c r="N274" i="7"/>
  <c r="M274" i="7"/>
  <c r="N273" i="7"/>
  <c r="M273" i="7"/>
  <c r="L273" i="7"/>
  <c r="K273" i="7"/>
  <c r="N272" i="7"/>
  <c r="M272" i="7"/>
  <c r="N271" i="7"/>
  <c r="M271" i="7"/>
  <c r="L271" i="7"/>
  <c r="K271" i="7"/>
  <c r="N270" i="7"/>
  <c r="M270" i="7"/>
  <c r="N269" i="7"/>
  <c r="M269" i="7"/>
  <c r="L269" i="7"/>
  <c r="K269" i="7"/>
  <c r="N268" i="7"/>
  <c r="M268" i="7"/>
  <c r="O267" i="7" s="1"/>
  <c r="N267" i="7"/>
  <c r="M267" i="7"/>
  <c r="L267" i="7"/>
  <c r="K267" i="7"/>
  <c r="N266" i="7"/>
  <c r="O266" i="7" s="1"/>
  <c r="M266" i="7"/>
  <c r="N265" i="7"/>
  <c r="M265" i="7"/>
  <c r="L265" i="7"/>
  <c r="K265" i="7"/>
  <c r="N264" i="7"/>
  <c r="M264" i="7"/>
  <c r="O263" i="7" s="1"/>
  <c r="N263" i="7"/>
  <c r="M263" i="7"/>
  <c r="L263" i="7"/>
  <c r="K263" i="7"/>
  <c r="N262" i="7"/>
  <c r="M262" i="7"/>
  <c r="N261" i="7"/>
  <c r="M261" i="7"/>
  <c r="L261" i="7"/>
  <c r="K261" i="7"/>
  <c r="N260" i="7"/>
  <c r="M260" i="7"/>
  <c r="O259" i="7" s="1"/>
  <c r="N259" i="7"/>
  <c r="M259" i="7"/>
  <c r="L259" i="7"/>
  <c r="K259" i="7"/>
  <c r="N258" i="7"/>
  <c r="O258" i="7" s="1"/>
  <c r="M258" i="7"/>
  <c r="N257" i="7"/>
  <c r="M257" i="7"/>
  <c r="L257" i="7"/>
  <c r="K257" i="7"/>
  <c r="N256" i="7"/>
  <c r="M256" i="7"/>
  <c r="O255" i="7" s="1"/>
  <c r="N255" i="7"/>
  <c r="M255" i="7"/>
  <c r="L255" i="7"/>
  <c r="K255" i="7"/>
  <c r="N254" i="7"/>
  <c r="M254" i="7"/>
  <c r="N253" i="7"/>
  <c r="M253" i="7"/>
  <c r="L253" i="7"/>
  <c r="K253" i="7"/>
  <c r="N252" i="7"/>
  <c r="M252" i="7"/>
  <c r="O251" i="7" s="1"/>
  <c r="N251" i="7"/>
  <c r="M251" i="7"/>
  <c r="L251" i="7"/>
  <c r="K251" i="7"/>
  <c r="N250" i="7"/>
  <c r="O250" i="7" s="1"/>
  <c r="M250" i="7"/>
  <c r="N249" i="7"/>
  <c r="M249" i="7"/>
  <c r="L249" i="7"/>
  <c r="K249" i="7"/>
  <c r="N243" i="7"/>
  <c r="M243" i="7"/>
  <c r="O242" i="7" s="1"/>
  <c r="N242" i="7"/>
  <c r="M242" i="7"/>
  <c r="L242" i="7"/>
  <c r="K242" i="7"/>
  <c r="N241" i="7"/>
  <c r="M241" i="7"/>
  <c r="N240" i="7"/>
  <c r="M240" i="7"/>
  <c r="L240" i="7"/>
  <c r="K240" i="7"/>
  <c r="N239" i="7"/>
  <c r="M239" i="7"/>
  <c r="N238" i="7"/>
  <c r="M238" i="7"/>
  <c r="L238" i="7"/>
  <c r="K238" i="7"/>
  <c r="N237" i="7"/>
  <c r="O237" i="7" s="1"/>
  <c r="M237" i="7"/>
  <c r="N236" i="7"/>
  <c r="M236" i="7"/>
  <c r="L236" i="7"/>
  <c r="K236" i="7"/>
  <c r="N235" i="7"/>
  <c r="M235" i="7"/>
  <c r="O234" i="7" s="1"/>
  <c r="N234" i="7"/>
  <c r="M234" i="7"/>
  <c r="L234" i="7"/>
  <c r="K234" i="7"/>
  <c r="N233" i="7"/>
  <c r="M233" i="7"/>
  <c r="N232" i="7"/>
  <c r="M232" i="7"/>
  <c r="L232" i="7"/>
  <c r="K232" i="7"/>
  <c r="N231" i="7"/>
  <c r="M231" i="7"/>
  <c r="N230" i="7"/>
  <c r="M230" i="7"/>
  <c r="L230" i="7"/>
  <c r="K230" i="7"/>
  <c r="N229" i="7"/>
  <c r="O229" i="7" s="1"/>
  <c r="M229" i="7"/>
  <c r="N228" i="7"/>
  <c r="M228" i="7"/>
  <c r="L228" i="7"/>
  <c r="K228" i="7"/>
  <c r="N227" i="7"/>
  <c r="M227" i="7"/>
  <c r="O226" i="7" s="1"/>
  <c r="N226" i="7"/>
  <c r="M226" i="7"/>
  <c r="L226" i="7"/>
  <c r="K226" i="7"/>
  <c r="N225" i="7"/>
  <c r="M225" i="7"/>
  <c r="N224" i="7"/>
  <c r="M224" i="7"/>
  <c r="L224" i="7"/>
  <c r="K224" i="7"/>
  <c r="N223" i="7"/>
  <c r="M223" i="7"/>
  <c r="N222" i="7"/>
  <c r="M222" i="7"/>
  <c r="L222" i="7"/>
  <c r="K222" i="7"/>
  <c r="N221" i="7"/>
  <c r="O221" i="7" s="1"/>
  <c r="M221" i="7"/>
  <c r="N220" i="7"/>
  <c r="M220" i="7"/>
  <c r="L220" i="7"/>
  <c r="K220" i="7"/>
  <c r="N219" i="7"/>
  <c r="M219" i="7"/>
  <c r="O218" i="7" s="1"/>
  <c r="N218" i="7"/>
  <c r="M218" i="7"/>
  <c r="L218" i="7"/>
  <c r="K218" i="7"/>
  <c r="N217" i="7"/>
  <c r="M217" i="7"/>
  <c r="N216" i="7"/>
  <c r="M216" i="7"/>
  <c r="L216" i="7"/>
  <c r="K216" i="7"/>
  <c r="N215" i="7"/>
  <c r="M215" i="7"/>
  <c r="N214" i="7"/>
  <c r="M214" i="7"/>
  <c r="L214" i="7"/>
  <c r="K214" i="7"/>
  <c r="N208" i="7"/>
  <c r="O208" i="7" s="1"/>
  <c r="M208" i="7"/>
  <c r="N207" i="7"/>
  <c r="M207" i="7"/>
  <c r="L207" i="7"/>
  <c r="K207" i="7"/>
  <c r="N206" i="7"/>
  <c r="M206" i="7"/>
  <c r="O205" i="7" s="1"/>
  <c r="N205" i="7"/>
  <c r="M205" i="7"/>
  <c r="L205" i="7"/>
  <c r="K205" i="7"/>
  <c r="N204" i="7"/>
  <c r="M204" i="7"/>
  <c r="N203" i="7"/>
  <c r="M203" i="7"/>
  <c r="L203" i="7"/>
  <c r="K203" i="7"/>
  <c r="N202" i="7"/>
  <c r="M202" i="7"/>
  <c r="N201" i="7"/>
  <c r="M201" i="7"/>
  <c r="L201" i="7"/>
  <c r="K201" i="7"/>
  <c r="N200" i="7"/>
  <c r="O200" i="7" s="1"/>
  <c r="M200" i="7"/>
  <c r="N199" i="7"/>
  <c r="M199" i="7"/>
  <c r="L199" i="7"/>
  <c r="K199" i="7"/>
  <c r="N198" i="7"/>
  <c r="M198" i="7"/>
  <c r="O197" i="7" s="1"/>
  <c r="N197" i="7"/>
  <c r="M197" i="7"/>
  <c r="L197" i="7"/>
  <c r="K197" i="7"/>
  <c r="N196" i="7"/>
  <c r="O196" i="7" s="1"/>
  <c r="M196" i="7"/>
  <c r="N195" i="7"/>
  <c r="M195" i="7"/>
  <c r="L195" i="7"/>
  <c r="K195" i="7"/>
  <c r="N194" i="7"/>
  <c r="M194" i="7"/>
  <c r="N193" i="7"/>
  <c r="M193" i="7"/>
  <c r="L193" i="7"/>
  <c r="K193" i="7"/>
  <c r="N192" i="7"/>
  <c r="O192" i="7" s="1"/>
  <c r="M192" i="7"/>
  <c r="N191" i="7"/>
  <c r="M191" i="7"/>
  <c r="L191" i="7"/>
  <c r="K191" i="7"/>
  <c r="N190" i="7"/>
  <c r="M190" i="7"/>
  <c r="O189" i="7" s="1"/>
  <c r="N189" i="7"/>
  <c r="M189" i="7"/>
  <c r="L189" i="7"/>
  <c r="K189" i="7"/>
  <c r="N188" i="7"/>
  <c r="O188" i="7" s="1"/>
  <c r="M188" i="7"/>
  <c r="N187" i="7"/>
  <c r="M187" i="7"/>
  <c r="L187" i="7"/>
  <c r="K187" i="7"/>
  <c r="N186" i="7"/>
  <c r="M186" i="7"/>
  <c r="N185" i="7"/>
  <c r="M185" i="7"/>
  <c r="L185" i="7"/>
  <c r="K185" i="7"/>
  <c r="N184" i="7"/>
  <c r="O184" i="7" s="1"/>
  <c r="M184" i="7"/>
  <c r="N183" i="7"/>
  <c r="M183" i="7"/>
  <c r="L183" i="7"/>
  <c r="K183" i="7"/>
  <c r="N182" i="7"/>
  <c r="M182" i="7"/>
  <c r="O181" i="7" s="1"/>
  <c r="N181" i="7"/>
  <c r="M181" i="7"/>
  <c r="L181" i="7"/>
  <c r="K181" i="7"/>
  <c r="N180" i="7"/>
  <c r="O180" i="7" s="1"/>
  <c r="M180" i="7"/>
  <c r="N179" i="7"/>
  <c r="M179" i="7"/>
  <c r="L179" i="7"/>
  <c r="K179" i="7"/>
  <c r="N173" i="7"/>
  <c r="M173" i="7"/>
  <c r="N172" i="7"/>
  <c r="M172" i="7"/>
  <c r="L172" i="7"/>
  <c r="K172" i="7"/>
  <c r="N171" i="7"/>
  <c r="O171" i="7" s="1"/>
  <c r="M171" i="7"/>
  <c r="N170" i="7"/>
  <c r="M170" i="7"/>
  <c r="L170" i="7"/>
  <c r="K170" i="7"/>
  <c r="N169" i="7"/>
  <c r="M169" i="7"/>
  <c r="N168" i="7"/>
  <c r="M168" i="7"/>
  <c r="L168" i="7"/>
  <c r="K168" i="7"/>
  <c r="N167" i="7"/>
  <c r="M167" i="7"/>
  <c r="N166" i="7"/>
  <c r="M166" i="7"/>
  <c r="L166" i="7"/>
  <c r="K166" i="7"/>
  <c r="N165" i="7"/>
  <c r="M165" i="7"/>
  <c r="N164" i="7"/>
  <c r="M164" i="7"/>
  <c r="L164" i="7"/>
  <c r="K164" i="7"/>
  <c r="N163" i="7"/>
  <c r="O163" i="7" s="1"/>
  <c r="M163" i="7"/>
  <c r="N162" i="7"/>
  <c r="M162" i="7"/>
  <c r="L162" i="7"/>
  <c r="K162" i="7"/>
  <c r="N161" i="7"/>
  <c r="M161" i="7"/>
  <c r="N160" i="7"/>
  <c r="M160" i="7"/>
  <c r="L160" i="7"/>
  <c r="K160" i="7"/>
  <c r="N159" i="7"/>
  <c r="M159" i="7"/>
  <c r="N158" i="7"/>
  <c r="M158" i="7"/>
  <c r="L158" i="7"/>
  <c r="K158" i="7"/>
  <c r="N157" i="7"/>
  <c r="M157" i="7"/>
  <c r="N156" i="7"/>
  <c r="M156" i="7"/>
  <c r="L156" i="7"/>
  <c r="K156" i="7"/>
  <c r="N155" i="7"/>
  <c r="O155" i="7" s="1"/>
  <c r="M155" i="7"/>
  <c r="N154" i="7"/>
  <c r="M154" i="7"/>
  <c r="L154" i="7"/>
  <c r="K154" i="7"/>
  <c r="N153" i="7"/>
  <c r="M153" i="7"/>
  <c r="N152" i="7"/>
  <c r="M152" i="7"/>
  <c r="L152" i="7"/>
  <c r="K152" i="7"/>
  <c r="N151" i="7"/>
  <c r="M151" i="7"/>
  <c r="N150" i="7"/>
  <c r="M150" i="7"/>
  <c r="L150" i="7"/>
  <c r="K150" i="7"/>
  <c r="N149" i="7"/>
  <c r="M149" i="7"/>
  <c r="N148" i="7"/>
  <c r="M148" i="7"/>
  <c r="L148" i="7"/>
  <c r="K148" i="7"/>
  <c r="N46" i="7"/>
  <c r="O333" i="7" l="1"/>
  <c r="O339" i="7"/>
  <c r="O321" i="7"/>
  <c r="O291" i="7"/>
  <c r="O299" i="7"/>
  <c r="O307" i="7"/>
  <c r="O311" i="7"/>
  <c r="O254" i="7"/>
  <c r="O262" i="7"/>
  <c r="O270" i="7"/>
  <c r="O278" i="7"/>
  <c r="O274" i="7"/>
  <c r="O217" i="7"/>
  <c r="O225" i="7"/>
  <c r="O233" i="7"/>
  <c r="O241" i="7"/>
  <c r="O214" i="7"/>
  <c r="O222" i="7"/>
  <c r="O230" i="7"/>
  <c r="O204" i="7"/>
  <c r="O185" i="7"/>
  <c r="O193" i="7"/>
  <c r="O201" i="7"/>
  <c r="O151" i="7"/>
  <c r="O159" i="7"/>
  <c r="O167" i="7"/>
  <c r="O156" i="7"/>
  <c r="O172" i="7"/>
  <c r="O164" i="7"/>
  <c r="O161" i="7"/>
  <c r="O169" i="7"/>
  <c r="O148" i="7"/>
  <c r="O152" i="7"/>
  <c r="O165" i="7"/>
  <c r="O173" i="7"/>
  <c r="O343" i="7"/>
  <c r="O162" i="7"/>
  <c r="O170" i="7"/>
  <c r="O207" i="7"/>
  <c r="O236" i="7"/>
  <c r="O249" i="7"/>
  <c r="O257" i="7"/>
  <c r="O265" i="7"/>
  <c r="O273" i="7"/>
  <c r="O286" i="7"/>
  <c r="O294" i="7"/>
  <c r="O302" i="7"/>
  <c r="O310" i="7"/>
  <c r="O334" i="7"/>
  <c r="O337" i="7"/>
  <c r="O322" i="7"/>
  <c r="O329" i="7"/>
  <c r="O319" i="7"/>
  <c r="O271" i="7"/>
  <c r="O284" i="7"/>
  <c r="O292" i="7"/>
  <c r="O300" i="7"/>
  <c r="O308" i="7"/>
  <c r="O328" i="7"/>
  <c r="O344" i="7"/>
  <c r="O153" i="7"/>
  <c r="O160" i="7"/>
  <c r="O182" i="7"/>
  <c r="O190" i="7"/>
  <c r="O198" i="7"/>
  <c r="O206" i="7"/>
  <c r="O219" i="7"/>
  <c r="O227" i="7"/>
  <c r="O235" i="7"/>
  <c r="O243" i="7"/>
  <c r="O256" i="7"/>
  <c r="O264" i="7"/>
  <c r="O272" i="7"/>
  <c r="O285" i="7"/>
  <c r="O293" i="7"/>
  <c r="O301" i="7"/>
  <c r="O309" i="7"/>
  <c r="O326" i="7"/>
  <c r="O342" i="7"/>
  <c r="O150" i="7"/>
  <c r="O158" i="7"/>
  <c r="O179" i="7"/>
  <c r="O187" i="7"/>
  <c r="O195" i="7"/>
  <c r="O203" i="7"/>
  <c r="O216" i="7"/>
  <c r="O224" i="7"/>
  <c r="O232" i="7"/>
  <c r="O240" i="7"/>
  <c r="O253" i="7"/>
  <c r="O261" i="7"/>
  <c r="O269" i="7"/>
  <c r="O277" i="7"/>
  <c r="O290" i="7"/>
  <c r="O298" i="7"/>
  <c r="O306" i="7"/>
  <c r="O324" i="7"/>
  <c r="O340" i="7"/>
  <c r="O238" i="7"/>
  <c r="O320" i="7"/>
  <c r="O336" i="7"/>
  <c r="O149" i="7"/>
  <c r="O157" i="7"/>
  <c r="O168" i="7"/>
  <c r="O186" i="7"/>
  <c r="O194" i="7"/>
  <c r="O202" i="7"/>
  <c r="O215" i="7"/>
  <c r="O223" i="7"/>
  <c r="O231" i="7"/>
  <c r="O239" i="7"/>
  <c r="O252" i="7"/>
  <c r="O260" i="7"/>
  <c r="O268" i="7"/>
  <c r="O276" i="7"/>
  <c r="O289" i="7"/>
  <c r="O297" i="7"/>
  <c r="O305" i="7"/>
  <c r="O313" i="7"/>
  <c r="O154" i="7"/>
  <c r="O166" i="7"/>
  <c r="O183" i="7"/>
  <c r="O191" i="7"/>
  <c r="O199" i="7"/>
  <c r="O220" i="7"/>
  <c r="O228" i="7"/>
  <c r="O332" i="7"/>
  <c r="K22" i="7"/>
  <c r="L22" i="7"/>
  <c r="K24" i="7"/>
  <c r="L24" i="7"/>
  <c r="AC40" i="7" l="1"/>
  <c r="AC348" i="7"/>
  <c r="AB348" i="7"/>
  <c r="AC347" i="7"/>
  <c r="AB347" i="7"/>
  <c r="AA347" i="7"/>
  <c r="Z347" i="7"/>
  <c r="AC346" i="7"/>
  <c r="AB346" i="7"/>
  <c r="AC345" i="7"/>
  <c r="AB345" i="7"/>
  <c r="AA345" i="7"/>
  <c r="Z345" i="7"/>
  <c r="AC344" i="7"/>
  <c r="AB344" i="7"/>
  <c r="AC343" i="7"/>
  <c r="AB343" i="7"/>
  <c r="AA343" i="7"/>
  <c r="Z343" i="7"/>
  <c r="AC342" i="7"/>
  <c r="AB342" i="7"/>
  <c r="AC341" i="7"/>
  <c r="AB341" i="7"/>
  <c r="AA341" i="7"/>
  <c r="Z341" i="7"/>
  <c r="AC340" i="7"/>
  <c r="AB340" i="7"/>
  <c r="AC339" i="7"/>
  <c r="AB339" i="7"/>
  <c r="AA339" i="7"/>
  <c r="Z339" i="7"/>
  <c r="AC338" i="7"/>
  <c r="AB338" i="7"/>
  <c r="AC337" i="7"/>
  <c r="AB337" i="7"/>
  <c r="AA337" i="7"/>
  <c r="Z337" i="7"/>
  <c r="AC336" i="7"/>
  <c r="AB336" i="7"/>
  <c r="AD335" i="7" s="1"/>
  <c r="AC335" i="7"/>
  <c r="AB335" i="7"/>
  <c r="AA335" i="7"/>
  <c r="Z335" i="7"/>
  <c r="AC334" i="7"/>
  <c r="AB334" i="7"/>
  <c r="AC333" i="7"/>
  <c r="AB333" i="7"/>
  <c r="AA333" i="7"/>
  <c r="Z333" i="7"/>
  <c r="AC332" i="7"/>
  <c r="AB332" i="7"/>
  <c r="AC331" i="7"/>
  <c r="AB331" i="7"/>
  <c r="AA331" i="7"/>
  <c r="Z331" i="7"/>
  <c r="AC330" i="7"/>
  <c r="AB330" i="7"/>
  <c r="AC329" i="7"/>
  <c r="AB329" i="7"/>
  <c r="AA329" i="7"/>
  <c r="Z329" i="7"/>
  <c r="AC328" i="7"/>
  <c r="AB328" i="7"/>
  <c r="AD327" i="7" s="1"/>
  <c r="AC327" i="7"/>
  <c r="AB327" i="7"/>
  <c r="AA327" i="7"/>
  <c r="Z327" i="7"/>
  <c r="AC326" i="7"/>
  <c r="AB326" i="7"/>
  <c r="AC325" i="7"/>
  <c r="AB325" i="7"/>
  <c r="AA325" i="7"/>
  <c r="Z325" i="7"/>
  <c r="AC324" i="7"/>
  <c r="AB324" i="7"/>
  <c r="AC323" i="7"/>
  <c r="AB323" i="7"/>
  <c r="AA323" i="7"/>
  <c r="Z323" i="7"/>
  <c r="AC322" i="7"/>
  <c r="AB322" i="7"/>
  <c r="AC321" i="7"/>
  <c r="AB321" i="7"/>
  <c r="AA321" i="7"/>
  <c r="Z321" i="7"/>
  <c r="AC320" i="7"/>
  <c r="AB320" i="7"/>
  <c r="AD319" i="7" s="1"/>
  <c r="AC319" i="7"/>
  <c r="AB319" i="7"/>
  <c r="AA319" i="7"/>
  <c r="Z319" i="7"/>
  <c r="AC313" i="7"/>
  <c r="AB313" i="7"/>
  <c r="AC312" i="7"/>
  <c r="AB312" i="7"/>
  <c r="AA312" i="7"/>
  <c r="Z312" i="7"/>
  <c r="AC311" i="7"/>
  <c r="AB311" i="7"/>
  <c r="AC310" i="7"/>
  <c r="AB310" i="7"/>
  <c r="AA310" i="7"/>
  <c r="Z310" i="7"/>
  <c r="AC309" i="7"/>
  <c r="AB309" i="7"/>
  <c r="AC308" i="7"/>
  <c r="AB308" i="7"/>
  <c r="AA308" i="7"/>
  <c r="Z308" i="7"/>
  <c r="AC307" i="7"/>
  <c r="AB307" i="7"/>
  <c r="AD306" i="7" s="1"/>
  <c r="AC306" i="7"/>
  <c r="AB306" i="7"/>
  <c r="AA306" i="7"/>
  <c r="Z306" i="7"/>
  <c r="AC305" i="7"/>
  <c r="AB305" i="7"/>
  <c r="AC304" i="7"/>
  <c r="AB304" i="7"/>
  <c r="AA304" i="7"/>
  <c r="Z304" i="7"/>
  <c r="AC303" i="7"/>
  <c r="AB303" i="7"/>
  <c r="AC302" i="7"/>
  <c r="AB302" i="7"/>
  <c r="AA302" i="7"/>
  <c r="Z302" i="7"/>
  <c r="AC301" i="7"/>
  <c r="AB301" i="7"/>
  <c r="AC300" i="7"/>
  <c r="AB300" i="7"/>
  <c r="AA300" i="7"/>
  <c r="Z300" i="7"/>
  <c r="AC299" i="7"/>
  <c r="AB299" i="7"/>
  <c r="AD298" i="7" s="1"/>
  <c r="AC298" i="7"/>
  <c r="AB298" i="7"/>
  <c r="AA298" i="7"/>
  <c r="Z298" i="7"/>
  <c r="AC297" i="7"/>
  <c r="AB297" i="7"/>
  <c r="AC296" i="7"/>
  <c r="AB296" i="7"/>
  <c r="AA296" i="7"/>
  <c r="Z296" i="7"/>
  <c r="AC295" i="7"/>
  <c r="AB295" i="7"/>
  <c r="AC294" i="7"/>
  <c r="AB294" i="7"/>
  <c r="AA294" i="7"/>
  <c r="Z294" i="7"/>
  <c r="AC293" i="7"/>
  <c r="AB293" i="7"/>
  <c r="AC292" i="7"/>
  <c r="AB292" i="7"/>
  <c r="AA292" i="7"/>
  <c r="Z292" i="7"/>
  <c r="AC291" i="7"/>
  <c r="AB291" i="7"/>
  <c r="AD290" i="7" s="1"/>
  <c r="AC290" i="7"/>
  <c r="AB290" i="7"/>
  <c r="AA290" i="7"/>
  <c r="Z290" i="7"/>
  <c r="AC289" i="7"/>
  <c r="AB289" i="7"/>
  <c r="AC288" i="7"/>
  <c r="AB288" i="7"/>
  <c r="AA288" i="7"/>
  <c r="Z288" i="7"/>
  <c r="AC287" i="7"/>
  <c r="AB287" i="7"/>
  <c r="AC286" i="7"/>
  <c r="AB286" i="7"/>
  <c r="AA286" i="7"/>
  <c r="Z286" i="7"/>
  <c r="AC285" i="7"/>
  <c r="AB285" i="7"/>
  <c r="AC284" i="7"/>
  <c r="AB284" i="7"/>
  <c r="AA284" i="7"/>
  <c r="Z284" i="7"/>
  <c r="AC278" i="7"/>
  <c r="AB278" i="7"/>
  <c r="AD277" i="7" s="1"/>
  <c r="AC277" i="7"/>
  <c r="AB277" i="7"/>
  <c r="AA277" i="7"/>
  <c r="Z277" i="7"/>
  <c r="AC276" i="7"/>
  <c r="AB276" i="7"/>
  <c r="AC275" i="7"/>
  <c r="AB275" i="7"/>
  <c r="AA275" i="7"/>
  <c r="Z275" i="7"/>
  <c r="AC274" i="7"/>
  <c r="AB274" i="7"/>
  <c r="AC273" i="7"/>
  <c r="AB273" i="7"/>
  <c r="AA273" i="7"/>
  <c r="Z273" i="7"/>
  <c r="AC272" i="7"/>
  <c r="AB272" i="7"/>
  <c r="AC271" i="7"/>
  <c r="AB271" i="7"/>
  <c r="AA271" i="7"/>
  <c r="Z271" i="7"/>
  <c r="AC270" i="7"/>
  <c r="AB270" i="7"/>
  <c r="AD269" i="7" s="1"/>
  <c r="AC269" i="7"/>
  <c r="AB269" i="7"/>
  <c r="AA269" i="7"/>
  <c r="Z269" i="7"/>
  <c r="AC268" i="7"/>
  <c r="AB268" i="7"/>
  <c r="AC267" i="7"/>
  <c r="AB267" i="7"/>
  <c r="AA267" i="7"/>
  <c r="Z267" i="7"/>
  <c r="AC266" i="7"/>
  <c r="AB266" i="7"/>
  <c r="AC265" i="7"/>
  <c r="AB265" i="7"/>
  <c r="AA265" i="7"/>
  <c r="Z265" i="7"/>
  <c r="AC264" i="7"/>
  <c r="AB264" i="7"/>
  <c r="AC263" i="7"/>
  <c r="AB263" i="7"/>
  <c r="AA263" i="7"/>
  <c r="Z263" i="7"/>
  <c r="AC262" i="7"/>
  <c r="AB262" i="7"/>
  <c r="AD261" i="7" s="1"/>
  <c r="AC261" i="7"/>
  <c r="AB261" i="7"/>
  <c r="AA261" i="7"/>
  <c r="Z261" i="7"/>
  <c r="AC260" i="7"/>
  <c r="AB260" i="7"/>
  <c r="AC259" i="7"/>
  <c r="AB259" i="7"/>
  <c r="AA259" i="7"/>
  <c r="Z259" i="7"/>
  <c r="AC258" i="7"/>
  <c r="AB258" i="7"/>
  <c r="AC257" i="7"/>
  <c r="AB257" i="7"/>
  <c r="AA257" i="7"/>
  <c r="Z257" i="7"/>
  <c r="AC256" i="7"/>
  <c r="AB256" i="7"/>
  <c r="AC255" i="7"/>
  <c r="AB255" i="7"/>
  <c r="AA255" i="7"/>
  <c r="Z255" i="7"/>
  <c r="AC254" i="7"/>
  <c r="AB254" i="7"/>
  <c r="AC253" i="7"/>
  <c r="AB253" i="7"/>
  <c r="AA253" i="7"/>
  <c r="Z253" i="7"/>
  <c r="AC252" i="7"/>
  <c r="AB252" i="7"/>
  <c r="AC251" i="7"/>
  <c r="AB251" i="7"/>
  <c r="AA251" i="7"/>
  <c r="Z251" i="7"/>
  <c r="AC250" i="7"/>
  <c r="AB250" i="7"/>
  <c r="AC249" i="7"/>
  <c r="AB249" i="7"/>
  <c r="AA249" i="7"/>
  <c r="Z249" i="7"/>
  <c r="AC243" i="7"/>
  <c r="AB243" i="7"/>
  <c r="AC242" i="7"/>
  <c r="AB242" i="7"/>
  <c r="AA242" i="7"/>
  <c r="Z242" i="7"/>
  <c r="AC241" i="7"/>
  <c r="AB241" i="7"/>
  <c r="AC240" i="7"/>
  <c r="AB240" i="7"/>
  <c r="AA240" i="7"/>
  <c r="Z240" i="7"/>
  <c r="AC239" i="7"/>
  <c r="AB239" i="7"/>
  <c r="AC238" i="7"/>
  <c r="AB238" i="7"/>
  <c r="AA238" i="7"/>
  <c r="Z238" i="7"/>
  <c r="AC237" i="7"/>
  <c r="AB237" i="7"/>
  <c r="AC236" i="7"/>
  <c r="AB236" i="7"/>
  <c r="AA236" i="7"/>
  <c r="Z236" i="7"/>
  <c r="AC235" i="7"/>
  <c r="AB235" i="7"/>
  <c r="AD234" i="7" s="1"/>
  <c r="AC234" i="7"/>
  <c r="AB234" i="7"/>
  <c r="AA234" i="7"/>
  <c r="Z234" i="7"/>
  <c r="AC233" i="7"/>
  <c r="AB233" i="7"/>
  <c r="AC232" i="7"/>
  <c r="AB232" i="7"/>
  <c r="AA232" i="7"/>
  <c r="Z232" i="7"/>
  <c r="AC231" i="7"/>
  <c r="AB231" i="7"/>
  <c r="AC230" i="7"/>
  <c r="AB230" i="7"/>
  <c r="AA230" i="7"/>
  <c r="Z230" i="7"/>
  <c r="AC229" i="7"/>
  <c r="AB229" i="7"/>
  <c r="AC228" i="7"/>
  <c r="AB228" i="7"/>
  <c r="AA228" i="7"/>
  <c r="Z228" i="7"/>
  <c r="AC227" i="7"/>
  <c r="AB227" i="7"/>
  <c r="AD226" i="7" s="1"/>
  <c r="AC226" i="7"/>
  <c r="AB226" i="7"/>
  <c r="AA226" i="7"/>
  <c r="Z226" i="7"/>
  <c r="AC225" i="7"/>
  <c r="AB225" i="7"/>
  <c r="AC224" i="7"/>
  <c r="AB224" i="7"/>
  <c r="AA224" i="7"/>
  <c r="Z224" i="7"/>
  <c r="AC223" i="7"/>
  <c r="AB223" i="7"/>
  <c r="AC222" i="7"/>
  <c r="AB222" i="7"/>
  <c r="AA222" i="7"/>
  <c r="Z222" i="7"/>
  <c r="AC221" i="7"/>
  <c r="AB221" i="7"/>
  <c r="AC220" i="7"/>
  <c r="AB220" i="7"/>
  <c r="AA220" i="7"/>
  <c r="Z220" i="7"/>
  <c r="AC219" i="7"/>
  <c r="AB219" i="7"/>
  <c r="AD218" i="7" s="1"/>
  <c r="AC218" i="7"/>
  <c r="AB218" i="7"/>
  <c r="AA218" i="7"/>
  <c r="Z218" i="7"/>
  <c r="AC217" i="7"/>
  <c r="AB217" i="7"/>
  <c r="AC216" i="7"/>
  <c r="AB216" i="7"/>
  <c r="AA216" i="7"/>
  <c r="Z216" i="7"/>
  <c r="AC215" i="7"/>
  <c r="AB215" i="7"/>
  <c r="AC214" i="7"/>
  <c r="AB214" i="7"/>
  <c r="AA214" i="7"/>
  <c r="Z214" i="7"/>
  <c r="AC208" i="7"/>
  <c r="AB208" i="7"/>
  <c r="AC207" i="7"/>
  <c r="AB207" i="7"/>
  <c r="AA207" i="7"/>
  <c r="Z207" i="7"/>
  <c r="AC206" i="7"/>
  <c r="AB206" i="7"/>
  <c r="AC205" i="7"/>
  <c r="AB205" i="7"/>
  <c r="AA205" i="7"/>
  <c r="Z205" i="7"/>
  <c r="AC204" i="7"/>
  <c r="AB204" i="7"/>
  <c r="AC203" i="7"/>
  <c r="AB203" i="7"/>
  <c r="AA203" i="7"/>
  <c r="Z203" i="7"/>
  <c r="AC202" i="7"/>
  <c r="AB202" i="7"/>
  <c r="AC201" i="7"/>
  <c r="AB201" i="7"/>
  <c r="AA201" i="7"/>
  <c r="Z201" i="7"/>
  <c r="AC200" i="7"/>
  <c r="AB200" i="7"/>
  <c r="AC199" i="7"/>
  <c r="AB199" i="7"/>
  <c r="AA199" i="7"/>
  <c r="Z199" i="7"/>
  <c r="AC198" i="7"/>
  <c r="AB198" i="7"/>
  <c r="AC197" i="7"/>
  <c r="AB197" i="7"/>
  <c r="AA197" i="7"/>
  <c r="Z197" i="7"/>
  <c r="AC196" i="7"/>
  <c r="AB196" i="7"/>
  <c r="AC195" i="7"/>
  <c r="AB195" i="7"/>
  <c r="AA195" i="7"/>
  <c r="Z195" i="7"/>
  <c r="AC194" i="7"/>
  <c r="AB194" i="7"/>
  <c r="AC193" i="7"/>
  <c r="AB193" i="7"/>
  <c r="AA193" i="7"/>
  <c r="Z193" i="7"/>
  <c r="AC192" i="7"/>
  <c r="AB192" i="7"/>
  <c r="AC191" i="7"/>
  <c r="AB191" i="7"/>
  <c r="AA191" i="7"/>
  <c r="Z191" i="7"/>
  <c r="AC190" i="7"/>
  <c r="AB190" i="7"/>
  <c r="AD189" i="7" s="1"/>
  <c r="AC189" i="7"/>
  <c r="AB189" i="7"/>
  <c r="AA189" i="7"/>
  <c r="Z189" i="7"/>
  <c r="AC188" i="7"/>
  <c r="AB188" i="7"/>
  <c r="AC187" i="7"/>
  <c r="AB187" i="7"/>
  <c r="AA187" i="7"/>
  <c r="Z187" i="7"/>
  <c r="AC186" i="7"/>
  <c r="AB186" i="7"/>
  <c r="AC185" i="7"/>
  <c r="AB185" i="7"/>
  <c r="AA185" i="7"/>
  <c r="Z185" i="7"/>
  <c r="AC184" i="7"/>
  <c r="AB184" i="7"/>
  <c r="AC183" i="7"/>
  <c r="AB183" i="7"/>
  <c r="AA183" i="7"/>
  <c r="Z183" i="7"/>
  <c r="AC182" i="7"/>
  <c r="AB182" i="7"/>
  <c r="AD181" i="7" s="1"/>
  <c r="AC181" i="7"/>
  <c r="AB181" i="7"/>
  <c r="AA181" i="7"/>
  <c r="Z181" i="7"/>
  <c r="AC180" i="7"/>
  <c r="AB180" i="7"/>
  <c r="AC179" i="7"/>
  <c r="AB179" i="7"/>
  <c r="AA179" i="7"/>
  <c r="Z179" i="7"/>
  <c r="AC173" i="7"/>
  <c r="AB173" i="7"/>
  <c r="AC172" i="7"/>
  <c r="AB172" i="7"/>
  <c r="AA172" i="7"/>
  <c r="Z172" i="7"/>
  <c r="AC171" i="7"/>
  <c r="AB171" i="7"/>
  <c r="AC170" i="7"/>
  <c r="AB170" i="7"/>
  <c r="AA170" i="7"/>
  <c r="Z170" i="7"/>
  <c r="AC169" i="7"/>
  <c r="AB169" i="7"/>
  <c r="AC168" i="7"/>
  <c r="AB168" i="7"/>
  <c r="AA168" i="7"/>
  <c r="Z168" i="7"/>
  <c r="AC167" i="7"/>
  <c r="AB167" i="7"/>
  <c r="AC166" i="7"/>
  <c r="AB166" i="7"/>
  <c r="AA166" i="7"/>
  <c r="Z166" i="7"/>
  <c r="AC165" i="7"/>
  <c r="AB165" i="7"/>
  <c r="AC164" i="7"/>
  <c r="AB164" i="7"/>
  <c r="AA164" i="7"/>
  <c r="Z164" i="7"/>
  <c r="AC163" i="7"/>
  <c r="AB163" i="7"/>
  <c r="AC162" i="7"/>
  <c r="AB162" i="7"/>
  <c r="AA162" i="7"/>
  <c r="Z162" i="7"/>
  <c r="AC161" i="7"/>
  <c r="AB161" i="7"/>
  <c r="AC160" i="7"/>
  <c r="AB160" i="7"/>
  <c r="AA160" i="7"/>
  <c r="Z160" i="7"/>
  <c r="AC159" i="7"/>
  <c r="AB159" i="7"/>
  <c r="AC158" i="7"/>
  <c r="AB158" i="7"/>
  <c r="AA158" i="7"/>
  <c r="Z158" i="7"/>
  <c r="AC157" i="7"/>
  <c r="AB157" i="7"/>
  <c r="AC156" i="7"/>
  <c r="AB156" i="7"/>
  <c r="AA156" i="7"/>
  <c r="Z156" i="7"/>
  <c r="AC155" i="7"/>
  <c r="AB155" i="7"/>
  <c r="AC154" i="7"/>
  <c r="AB154" i="7"/>
  <c r="AA154" i="7"/>
  <c r="Z154" i="7"/>
  <c r="AC153" i="7"/>
  <c r="AB153" i="7"/>
  <c r="AD152" i="7" s="1"/>
  <c r="AC152" i="7"/>
  <c r="AB152" i="7"/>
  <c r="AA152" i="7"/>
  <c r="Z152" i="7"/>
  <c r="AC151" i="7"/>
  <c r="AB151" i="7"/>
  <c r="AC150" i="7"/>
  <c r="AB150" i="7"/>
  <c r="AA150" i="7"/>
  <c r="Z150" i="7"/>
  <c r="AC149" i="7"/>
  <c r="AB149" i="7"/>
  <c r="AC148" i="7"/>
  <c r="AB148" i="7"/>
  <c r="AA148" i="7"/>
  <c r="Z148" i="7"/>
  <c r="AC138" i="7"/>
  <c r="AB138" i="7"/>
  <c r="AC137" i="7"/>
  <c r="AB137" i="7"/>
  <c r="AA137" i="7"/>
  <c r="Z137" i="7"/>
  <c r="AC136" i="7"/>
  <c r="AB136" i="7"/>
  <c r="AC135" i="7"/>
  <c r="AB135" i="7"/>
  <c r="AA135" i="7"/>
  <c r="Z135" i="7"/>
  <c r="AC134" i="7"/>
  <c r="AB134" i="7"/>
  <c r="AC133" i="7"/>
  <c r="AB133" i="7"/>
  <c r="AA133" i="7"/>
  <c r="Z133" i="7"/>
  <c r="AC132" i="7"/>
  <c r="AB132" i="7"/>
  <c r="AC131" i="7"/>
  <c r="AB131" i="7"/>
  <c r="AA131" i="7"/>
  <c r="Z131" i="7"/>
  <c r="AC130" i="7"/>
  <c r="AB130" i="7"/>
  <c r="AC129" i="7"/>
  <c r="AB129" i="7"/>
  <c r="AA129" i="7"/>
  <c r="Z129" i="7"/>
  <c r="AC128" i="7"/>
  <c r="AB128" i="7"/>
  <c r="AC127" i="7"/>
  <c r="AB127" i="7"/>
  <c r="AA127" i="7"/>
  <c r="Z127" i="7"/>
  <c r="AC126" i="7"/>
  <c r="AB126" i="7"/>
  <c r="AC125" i="7"/>
  <c r="AB125" i="7"/>
  <c r="AA125" i="7"/>
  <c r="Z125" i="7"/>
  <c r="AC124" i="7"/>
  <c r="AB124" i="7"/>
  <c r="AD123" i="7" s="1"/>
  <c r="AC123" i="7"/>
  <c r="AB123" i="7"/>
  <c r="AA123" i="7"/>
  <c r="Z123" i="7"/>
  <c r="AC122" i="7"/>
  <c r="AB122" i="7"/>
  <c r="AC121" i="7"/>
  <c r="AB121" i="7"/>
  <c r="AA121" i="7"/>
  <c r="Z121" i="7"/>
  <c r="AC120" i="7"/>
  <c r="AB120" i="7"/>
  <c r="AC119" i="7"/>
  <c r="AB119" i="7"/>
  <c r="AA119" i="7"/>
  <c r="Z119" i="7"/>
  <c r="AC118" i="7"/>
  <c r="AB118" i="7"/>
  <c r="AC117" i="7"/>
  <c r="AB117" i="7"/>
  <c r="AA117" i="7"/>
  <c r="Z117" i="7"/>
  <c r="AC116" i="7"/>
  <c r="AB116" i="7"/>
  <c r="AC115" i="7"/>
  <c r="AB115" i="7"/>
  <c r="AA115" i="7"/>
  <c r="Z115" i="7"/>
  <c r="AC114" i="7"/>
  <c r="AB114" i="7"/>
  <c r="AC113" i="7"/>
  <c r="AB113" i="7"/>
  <c r="AA113" i="7"/>
  <c r="Z113" i="7"/>
  <c r="AC103" i="7"/>
  <c r="AB103" i="7"/>
  <c r="AD102" i="7" s="1"/>
  <c r="AC102" i="7"/>
  <c r="AB102" i="7"/>
  <c r="AA102" i="7"/>
  <c r="Z102" i="7"/>
  <c r="AC101" i="7"/>
  <c r="AB101" i="7"/>
  <c r="AC100" i="7"/>
  <c r="AB100" i="7"/>
  <c r="AA100" i="7"/>
  <c r="Z100" i="7"/>
  <c r="AC99" i="7"/>
  <c r="AB99" i="7"/>
  <c r="AC98" i="7"/>
  <c r="AB98" i="7"/>
  <c r="AA98" i="7"/>
  <c r="Z98" i="7"/>
  <c r="AC97" i="7"/>
  <c r="AB97" i="7"/>
  <c r="AC96" i="7"/>
  <c r="AB96" i="7"/>
  <c r="AA96" i="7"/>
  <c r="Z96" i="7"/>
  <c r="AC95" i="7"/>
  <c r="AB95" i="7"/>
  <c r="AD94" i="7" s="1"/>
  <c r="AC94" i="7"/>
  <c r="AB94" i="7"/>
  <c r="AA94" i="7"/>
  <c r="Z94" i="7"/>
  <c r="AC93" i="7"/>
  <c r="AB93" i="7"/>
  <c r="AC92" i="7"/>
  <c r="AB92" i="7"/>
  <c r="AA92" i="7"/>
  <c r="Z92" i="7"/>
  <c r="AC91" i="7"/>
  <c r="AB91" i="7"/>
  <c r="AC90" i="7"/>
  <c r="AB90" i="7"/>
  <c r="AA90" i="7"/>
  <c r="Z90" i="7"/>
  <c r="AC89" i="7"/>
  <c r="AB89" i="7"/>
  <c r="AC88" i="7"/>
  <c r="AB88" i="7"/>
  <c r="AA88" i="7"/>
  <c r="Z88" i="7"/>
  <c r="AC87" i="7"/>
  <c r="AB87" i="7"/>
  <c r="AD86" i="7" s="1"/>
  <c r="AC86" i="7"/>
  <c r="AB86" i="7"/>
  <c r="AA86" i="7"/>
  <c r="Z86" i="7"/>
  <c r="AC85" i="7"/>
  <c r="AB85" i="7"/>
  <c r="AC84" i="7"/>
  <c r="AB84" i="7"/>
  <c r="AA84" i="7"/>
  <c r="Z84" i="7"/>
  <c r="AC83" i="7"/>
  <c r="AB83" i="7"/>
  <c r="AC82" i="7"/>
  <c r="AB82" i="7"/>
  <c r="AA82" i="7"/>
  <c r="Z82" i="7"/>
  <c r="AC81" i="7"/>
  <c r="AB81" i="7"/>
  <c r="AC80" i="7"/>
  <c r="AB80" i="7"/>
  <c r="AA80" i="7"/>
  <c r="Z80" i="7"/>
  <c r="AC79" i="7"/>
  <c r="AB79" i="7"/>
  <c r="AD78" i="7" s="1"/>
  <c r="AC78" i="7"/>
  <c r="AB78" i="7"/>
  <c r="AA78" i="7"/>
  <c r="Z78" i="7"/>
  <c r="AC68" i="7"/>
  <c r="AD68" i="7" s="1"/>
  <c r="AB68" i="7"/>
  <c r="AC67" i="7"/>
  <c r="AB67" i="7"/>
  <c r="AA67" i="7"/>
  <c r="Z67" i="7"/>
  <c r="AC66" i="7"/>
  <c r="AB66" i="7"/>
  <c r="AC65" i="7"/>
  <c r="AB65" i="7"/>
  <c r="AA65" i="7"/>
  <c r="Z65" i="7"/>
  <c r="AC64" i="7"/>
  <c r="AB64" i="7"/>
  <c r="AC63" i="7"/>
  <c r="AB63" i="7"/>
  <c r="AA63" i="7"/>
  <c r="Z63" i="7"/>
  <c r="AC62" i="7"/>
  <c r="AB62" i="7"/>
  <c r="AC61" i="7"/>
  <c r="AB61" i="7"/>
  <c r="AA61" i="7"/>
  <c r="Z61" i="7"/>
  <c r="AC60" i="7"/>
  <c r="AB60" i="7"/>
  <c r="AC59" i="7"/>
  <c r="AB59" i="7"/>
  <c r="AA59" i="7"/>
  <c r="Z59" i="7"/>
  <c r="AC58" i="7"/>
  <c r="AB58" i="7"/>
  <c r="AC57" i="7"/>
  <c r="AB57" i="7"/>
  <c r="AA57" i="7"/>
  <c r="Z57" i="7"/>
  <c r="AC56" i="7"/>
  <c r="AB56" i="7"/>
  <c r="AC55" i="7"/>
  <c r="AB55" i="7"/>
  <c r="AA55" i="7"/>
  <c r="Z55" i="7"/>
  <c r="AC54" i="7"/>
  <c r="AB54" i="7"/>
  <c r="AC53" i="7"/>
  <c r="AB53" i="7"/>
  <c r="AA53" i="7"/>
  <c r="Z53" i="7"/>
  <c r="AC52" i="7"/>
  <c r="AB52" i="7"/>
  <c r="AC51" i="7"/>
  <c r="AB51" i="7"/>
  <c r="AA51" i="7"/>
  <c r="Z51" i="7"/>
  <c r="AC50" i="7"/>
  <c r="AB50" i="7"/>
  <c r="AC49" i="7"/>
  <c r="AB49" i="7"/>
  <c r="AA49" i="7"/>
  <c r="Z49" i="7"/>
  <c r="AC48" i="7"/>
  <c r="AB48" i="7"/>
  <c r="AC47" i="7"/>
  <c r="AB47" i="7"/>
  <c r="AA47" i="7"/>
  <c r="Z47" i="7"/>
  <c r="AC46" i="7"/>
  <c r="AB46" i="7"/>
  <c r="AC45" i="7"/>
  <c r="AB45" i="7"/>
  <c r="AA45" i="7"/>
  <c r="Z45" i="7"/>
  <c r="AC44" i="7"/>
  <c r="AB44" i="7"/>
  <c r="AC43" i="7"/>
  <c r="AB43" i="7"/>
  <c r="AA43" i="7"/>
  <c r="Z43" i="7"/>
  <c r="AC42" i="7"/>
  <c r="AB42" i="7"/>
  <c r="AC41" i="7"/>
  <c r="AB41" i="7"/>
  <c r="AA41" i="7"/>
  <c r="Z41" i="7"/>
  <c r="AB40" i="7"/>
  <c r="AC39" i="7"/>
  <c r="AD40" i="7" s="1"/>
  <c r="AB39" i="7"/>
  <c r="AA39" i="7"/>
  <c r="Z39" i="7"/>
  <c r="AC33" i="7"/>
  <c r="AB33" i="7"/>
  <c r="AC31" i="7"/>
  <c r="AB31" i="7"/>
  <c r="AB29" i="7"/>
  <c r="AC29" i="7"/>
  <c r="AB27" i="7"/>
  <c r="AC27" i="7"/>
  <c r="AC25" i="7"/>
  <c r="AB25" i="7"/>
  <c r="AB23" i="7"/>
  <c r="AC23" i="7"/>
  <c r="AC21" i="7"/>
  <c r="AC19" i="7"/>
  <c r="AC17" i="7"/>
  <c r="AC15" i="7"/>
  <c r="AC13" i="7"/>
  <c r="AC11" i="7"/>
  <c r="AC9" i="7"/>
  <c r="AB21" i="7"/>
  <c r="AB20" i="7"/>
  <c r="AB19" i="7"/>
  <c r="AB17" i="7"/>
  <c r="AB15" i="7"/>
  <c r="AB13" i="7"/>
  <c r="AB11" i="7"/>
  <c r="AB10" i="7"/>
  <c r="AB9" i="7"/>
  <c r="AB8" i="7"/>
  <c r="AC8" i="7"/>
  <c r="AC32" i="7"/>
  <c r="AC30" i="7"/>
  <c r="AC28" i="7"/>
  <c r="AC26" i="7"/>
  <c r="AC24" i="7"/>
  <c r="AC22" i="7"/>
  <c r="AC20" i="7"/>
  <c r="AC18" i="7"/>
  <c r="AC16" i="7"/>
  <c r="AC14" i="7"/>
  <c r="AC12" i="7"/>
  <c r="AC10" i="7"/>
  <c r="AC6" i="7"/>
  <c r="AC4" i="7"/>
  <c r="AB32" i="7"/>
  <c r="AB30" i="7"/>
  <c r="AB28" i="7"/>
  <c r="AB26" i="7"/>
  <c r="AB24" i="7"/>
  <c r="AB22" i="7"/>
  <c r="AB18" i="7"/>
  <c r="AB16" i="7"/>
  <c r="AB14" i="7"/>
  <c r="AB12" i="7"/>
  <c r="AB4" i="7"/>
  <c r="AB6" i="7"/>
  <c r="AB5" i="7"/>
  <c r="M49" i="7"/>
  <c r="M50" i="7"/>
  <c r="O49" i="7" s="1"/>
  <c r="AC5" i="7"/>
  <c r="AC7" i="7"/>
  <c r="AB7" i="7"/>
  <c r="Z16" i="7"/>
  <c r="Z20" i="7"/>
  <c r="Z12" i="7"/>
  <c r="Z10" i="7"/>
  <c r="Z8" i="7"/>
  <c r="Z6" i="7"/>
  <c r="Z4" i="7"/>
  <c r="AA32" i="7"/>
  <c r="Z32" i="7"/>
  <c r="AA30" i="7"/>
  <c r="Z30" i="7"/>
  <c r="AA28" i="7"/>
  <c r="Z28" i="7"/>
  <c r="AA26" i="7"/>
  <c r="Z26" i="7"/>
  <c r="AA24" i="7"/>
  <c r="Z24" i="7"/>
  <c r="AA22" i="7"/>
  <c r="Z22" i="7"/>
  <c r="AA20" i="7"/>
  <c r="AA18" i="7"/>
  <c r="Z18" i="7"/>
  <c r="AA16" i="7"/>
  <c r="AA14" i="7"/>
  <c r="Z14" i="7"/>
  <c r="AA12" i="7"/>
  <c r="AA10" i="7"/>
  <c r="AA8" i="7"/>
  <c r="AA6" i="7"/>
  <c r="AA4" i="7"/>
  <c r="N68" i="7"/>
  <c r="M68" i="7"/>
  <c r="N67" i="7"/>
  <c r="M67" i="7"/>
  <c r="L67" i="7"/>
  <c r="K67" i="7"/>
  <c r="N66" i="7"/>
  <c r="M66" i="7"/>
  <c r="N65" i="7"/>
  <c r="M65" i="7"/>
  <c r="L65" i="7"/>
  <c r="K65" i="7"/>
  <c r="N64" i="7"/>
  <c r="M64" i="7"/>
  <c r="N63" i="7"/>
  <c r="M63" i="7"/>
  <c r="L63" i="7"/>
  <c r="K63" i="7"/>
  <c r="N62" i="7"/>
  <c r="M62" i="7"/>
  <c r="N61" i="7"/>
  <c r="M61" i="7"/>
  <c r="L61" i="7"/>
  <c r="K61" i="7"/>
  <c r="N60" i="7"/>
  <c r="M60" i="7"/>
  <c r="N59" i="7"/>
  <c r="M59" i="7"/>
  <c r="L59" i="7"/>
  <c r="K59" i="7"/>
  <c r="N58" i="7"/>
  <c r="M58" i="7"/>
  <c r="N57" i="7"/>
  <c r="M57" i="7"/>
  <c r="L57" i="7"/>
  <c r="K57" i="7"/>
  <c r="N56" i="7"/>
  <c r="M56" i="7"/>
  <c r="N55" i="7"/>
  <c r="M55" i="7"/>
  <c r="L55" i="7"/>
  <c r="K55" i="7"/>
  <c r="N54" i="7"/>
  <c r="M54" i="7"/>
  <c r="N53" i="7"/>
  <c r="M53" i="7"/>
  <c r="L53" i="7"/>
  <c r="K53" i="7"/>
  <c r="N52" i="7"/>
  <c r="O52" i="7" s="1"/>
  <c r="M52" i="7"/>
  <c r="N51" i="7"/>
  <c r="M51" i="7"/>
  <c r="L51" i="7"/>
  <c r="K51" i="7"/>
  <c r="N50" i="7"/>
  <c r="N49" i="7"/>
  <c r="L49" i="7"/>
  <c r="K49" i="7"/>
  <c r="N48" i="7"/>
  <c r="M48" i="7"/>
  <c r="N47" i="7"/>
  <c r="M47" i="7"/>
  <c r="L47" i="7"/>
  <c r="K47" i="7"/>
  <c r="M46" i="7"/>
  <c r="N45" i="7"/>
  <c r="O46" i="7" s="1"/>
  <c r="M45" i="7"/>
  <c r="L45" i="7"/>
  <c r="K45" i="7"/>
  <c r="N44" i="7"/>
  <c r="M44" i="7"/>
  <c r="N43" i="7"/>
  <c r="M43" i="7"/>
  <c r="L43" i="7"/>
  <c r="K43" i="7"/>
  <c r="N42" i="7"/>
  <c r="M42" i="7"/>
  <c r="N41" i="7"/>
  <c r="M41" i="7"/>
  <c r="L41" i="7"/>
  <c r="K41" i="7"/>
  <c r="N40" i="7"/>
  <c r="M40" i="7"/>
  <c r="N39" i="7"/>
  <c r="M39" i="7"/>
  <c r="L39" i="7"/>
  <c r="K39" i="7"/>
  <c r="N31" i="7"/>
  <c r="M31" i="7"/>
  <c r="N33" i="7"/>
  <c r="M33" i="7"/>
  <c r="N29" i="7"/>
  <c r="M29" i="7"/>
  <c r="N27" i="7"/>
  <c r="M27" i="7"/>
  <c r="N25" i="7"/>
  <c r="M25" i="7"/>
  <c r="N23" i="7"/>
  <c r="M23" i="7"/>
  <c r="N21" i="7"/>
  <c r="M21" i="7"/>
  <c r="N19" i="7"/>
  <c r="M19" i="7"/>
  <c r="M17" i="7"/>
  <c r="N17" i="7"/>
  <c r="N15" i="7"/>
  <c r="M15" i="7"/>
  <c r="N13" i="7"/>
  <c r="M13" i="7"/>
  <c r="M11" i="7"/>
  <c r="N9" i="7"/>
  <c r="M9" i="7"/>
  <c r="O8" i="7" s="1"/>
  <c r="N7" i="7"/>
  <c r="M7" i="7"/>
  <c r="M5" i="7"/>
  <c r="N5" i="7"/>
  <c r="K4" i="7"/>
  <c r="N4" i="7"/>
  <c r="M4" i="7"/>
  <c r="N18" i="7"/>
  <c r="M22" i="7"/>
  <c r="M6" i="7"/>
  <c r="N6" i="7"/>
  <c r="K32" i="7"/>
  <c r="K30" i="7"/>
  <c r="K28" i="7"/>
  <c r="K26" i="7"/>
  <c r="K20" i="7"/>
  <c r="K18" i="7"/>
  <c r="K16" i="7"/>
  <c r="K14" i="7"/>
  <c r="K12" i="7"/>
  <c r="K10" i="7"/>
  <c r="K8" i="7"/>
  <c r="K6" i="7"/>
  <c r="L4" i="7"/>
  <c r="L6" i="7"/>
  <c r="L8" i="7"/>
  <c r="M8" i="7"/>
  <c r="N8" i="7"/>
  <c r="L10" i="7"/>
  <c r="M10" i="7"/>
  <c r="N10" i="7"/>
  <c r="L12" i="7"/>
  <c r="M12" i="7"/>
  <c r="N12" i="7"/>
  <c r="L14" i="7"/>
  <c r="M14" i="7"/>
  <c r="N14" i="7"/>
  <c r="L16" i="7"/>
  <c r="M16" i="7"/>
  <c r="N16" i="7"/>
  <c r="L18" i="7"/>
  <c r="M18" i="7"/>
  <c r="L20" i="7"/>
  <c r="M20" i="7"/>
  <c r="N20" i="7"/>
  <c r="N22" i="7"/>
  <c r="M24" i="7"/>
  <c r="N24" i="7"/>
  <c r="L26" i="7"/>
  <c r="M26" i="7"/>
  <c r="N26" i="7"/>
  <c r="L28" i="7"/>
  <c r="M28" i="7"/>
  <c r="N28" i="7"/>
  <c r="L30" i="7"/>
  <c r="M30" i="7"/>
  <c r="N30" i="7"/>
  <c r="L32" i="7"/>
  <c r="M32" i="7"/>
  <c r="N32" i="7"/>
  <c r="O32" i="7" l="1"/>
  <c r="AD160" i="7"/>
  <c r="AD66" i="7"/>
  <c r="AD79" i="7"/>
  <c r="AD87" i="7"/>
  <c r="AD95" i="7"/>
  <c r="AD103" i="7"/>
  <c r="AD116" i="7"/>
  <c r="AD124" i="7"/>
  <c r="AD132" i="7"/>
  <c r="AD153" i="7"/>
  <c r="AD161" i="7"/>
  <c r="AD169" i="7"/>
  <c r="AD182" i="7"/>
  <c r="AD190" i="7"/>
  <c r="AD198" i="7"/>
  <c r="AD206" i="7"/>
  <c r="AD219" i="7"/>
  <c r="AD227" i="7"/>
  <c r="AD235" i="7"/>
  <c r="AD243" i="7"/>
  <c r="AD256" i="7"/>
  <c r="AD264" i="7"/>
  <c r="AD272" i="7"/>
  <c r="AD285" i="7"/>
  <c r="AD293" i="7"/>
  <c r="AD301" i="7"/>
  <c r="AD309" i="7"/>
  <c r="AD322" i="7"/>
  <c r="AD330" i="7"/>
  <c r="AD338" i="7"/>
  <c r="AD346" i="7"/>
  <c r="AD343" i="7"/>
  <c r="O51" i="7"/>
  <c r="O67" i="7"/>
  <c r="AD23" i="7"/>
  <c r="O50" i="7"/>
  <c r="AD48" i="7"/>
  <c r="AD56" i="7"/>
  <c r="AD64" i="7"/>
  <c r="AD101" i="7"/>
  <c r="AD114" i="7"/>
  <c r="AD122" i="7"/>
  <c r="AD130" i="7"/>
  <c r="AD138" i="7"/>
  <c r="AD151" i="7"/>
  <c r="AD159" i="7"/>
  <c r="AD167" i="7"/>
  <c r="AD180" i="7"/>
  <c r="AD188" i="7"/>
  <c r="AD196" i="7"/>
  <c r="AD204" i="7"/>
  <c r="AD217" i="7"/>
  <c r="AD225" i="7"/>
  <c r="AD233" i="7"/>
  <c r="AD241" i="7"/>
  <c r="AD254" i="7"/>
  <c r="AD262" i="7"/>
  <c r="AD270" i="7"/>
  <c r="AD278" i="7"/>
  <c r="AD291" i="7"/>
  <c r="AD299" i="7"/>
  <c r="AD307" i="7"/>
  <c r="AD320" i="7"/>
  <c r="AD328" i="7"/>
  <c r="AD336" i="7"/>
  <c r="AD344" i="7"/>
  <c r="AD82" i="7"/>
  <c r="AD90" i="7"/>
  <c r="AD119" i="7"/>
  <c r="AD127" i="7"/>
  <c r="AD135" i="7"/>
  <c r="AD214" i="7"/>
  <c r="AD222" i="7"/>
  <c r="AD230" i="7"/>
  <c r="AD238" i="7"/>
  <c r="AD251" i="7"/>
  <c r="AD259" i="7"/>
  <c r="AD62" i="7"/>
  <c r="AD99" i="7"/>
  <c r="AD120" i="7"/>
  <c r="AD128" i="7"/>
  <c r="AD136" i="7"/>
  <c r="AD149" i="7"/>
  <c r="AD157" i="7"/>
  <c r="AD165" i="7"/>
  <c r="AD173" i="7"/>
  <c r="AD186" i="7"/>
  <c r="AD194" i="7"/>
  <c r="AD202" i="7"/>
  <c r="AD215" i="7"/>
  <c r="AD223" i="7"/>
  <c r="AD231" i="7"/>
  <c r="AD239" i="7"/>
  <c r="AD252" i="7"/>
  <c r="AD260" i="7"/>
  <c r="AD268" i="7"/>
  <c r="AD276" i="7"/>
  <c r="AD289" i="7"/>
  <c r="AD297" i="7"/>
  <c r="AD305" i="7"/>
  <c r="AD313" i="7"/>
  <c r="AD326" i="7"/>
  <c r="AD334" i="7"/>
  <c r="AD342" i="7"/>
  <c r="O55" i="7"/>
  <c r="AD286" i="7"/>
  <c r="AD294" i="7"/>
  <c r="AD302" i="7"/>
  <c r="AD310" i="7"/>
  <c r="AD323" i="7"/>
  <c r="AD331" i="7"/>
  <c r="AD339" i="7"/>
  <c r="AD347" i="7"/>
  <c r="O28" i="7"/>
  <c r="AD44" i="7"/>
  <c r="AD52" i="7"/>
  <c r="AD60" i="7"/>
  <c r="AD118" i="7"/>
  <c r="AD126" i="7"/>
  <c r="AD134" i="7"/>
  <c r="AD155" i="7"/>
  <c r="AD163" i="7"/>
  <c r="AD171" i="7"/>
  <c r="AD184" i="7"/>
  <c r="AD192" i="7"/>
  <c r="AD200" i="7"/>
  <c r="AD208" i="7"/>
  <c r="AD221" i="7"/>
  <c r="AD229" i="7"/>
  <c r="AD237" i="7"/>
  <c r="AD250" i="7"/>
  <c r="AD258" i="7"/>
  <c r="AD266" i="7"/>
  <c r="AD274" i="7"/>
  <c r="AD287" i="7"/>
  <c r="AD295" i="7"/>
  <c r="AD303" i="7"/>
  <c r="AD311" i="7"/>
  <c r="AD324" i="7"/>
  <c r="AD332" i="7"/>
  <c r="AD340" i="7"/>
  <c r="AD348" i="7"/>
  <c r="AD115" i="7"/>
  <c r="AD242" i="7"/>
  <c r="AD255" i="7"/>
  <c r="AD253" i="7"/>
  <c r="AD267" i="7"/>
  <c r="AD275" i="7"/>
  <c r="AD249" i="7"/>
  <c r="AD257" i="7"/>
  <c r="AD265" i="7"/>
  <c r="AD273" i="7"/>
  <c r="AD263" i="7"/>
  <c r="AD271" i="7"/>
  <c r="AD185" i="7"/>
  <c r="AD193" i="7"/>
  <c r="AD201" i="7"/>
  <c r="AD197" i="7"/>
  <c r="AD205" i="7"/>
  <c r="AD148" i="7"/>
  <c r="AD156" i="7"/>
  <c r="AD164" i="7"/>
  <c r="AD172" i="7"/>
  <c r="AD168" i="7"/>
  <c r="AD131" i="7"/>
  <c r="AD98" i="7"/>
  <c r="AD45" i="7"/>
  <c r="AD53" i="7"/>
  <c r="AD61" i="7"/>
  <c r="AD57" i="7"/>
  <c r="AD65" i="7"/>
  <c r="O42" i="7"/>
  <c r="O56" i="7"/>
  <c r="O64" i="7"/>
  <c r="O39" i="7"/>
  <c r="O40" i="7"/>
  <c r="O7" i="7"/>
  <c r="AD85" i="7"/>
  <c r="AD93" i="7"/>
  <c r="AD83" i="7"/>
  <c r="AD91" i="7"/>
  <c r="AD81" i="7"/>
  <c r="AD89" i="7"/>
  <c r="AD97" i="7"/>
  <c r="AD42" i="7"/>
  <c r="AD58" i="7"/>
  <c r="AD46" i="7"/>
  <c r="AD54" i="7"/>
  <c r="AD13" i="7"/>
  <c r="AD29" i="7"/>
  <c r="AD51" i="7"/>
  <c r="AD59" i="7"/>
  <c r="AD67" i="7"/>
  <c r="AD80" i="7"/>
  <c r="AD88" i="7"/>
  <c r="AD96" i="7"/>
  <c r="AD117" i="7"/>
  <c r="AD125" i="7"/>
  <c r="AD133" i="7"/>
  <c r="AD154" i="7"/>
  <c r="AD162" i="7"/>
  <c r="AD170" i="7"/>
  <c r="AD183" i="7"/>
  <c r="AD191" i="7"/>
  <c r="AD199" i="7"/>
  <c r="AD207" i="7"/>
  <c r="AD220" i="7"/>
  <c r="AD228" i="7"/>
  <c r="AD236" i="7"/>
  <c r="AD284" i="7"/>
  <c r="AD292" i="7"/>
  <c r="AD300" i="7"/>
  <c r="AD308" i="7"/>
  <c r="AD321" i="7"/>
  <c r="AD329" i="7"/>
  <c r="AD337" i="7"/>
  <c r="AD345" i="7"/>
  <c r="AD28" i="7"/>
  <c r="AD8" i="7"/>
  <c r="AD20" i="7"/>
  <c r="AD39" i="7"/>
  <c r="AD55" i="7"/>
  <c r="AD63" i="7"/>
  <c r="AD84" i="7"/>
  <c r="AD92" i="7"/>
  <c r="AD100" i="7"/>
  <c r="AD113" i="7"/>
  <c r="AD121" i="7"/>
  <c r="AD129" i="7"/>
  <c r="AD137" i="7"/>
  <c r="AD150" i="7"/>
  <c r="AD158" i="7"/>
  <c r="AD166" i="7"/>
  <c r="AD179" i="7"/>
  <c r="AD187" i="7"/>
  <c r="AD195" i="7"/>
  <c r="AD203" i="7"/>
  <c r="AD216" i="7"/>
  <c r="AD224" i="7"/>
  <c r="AD232" i="7"/>
  <c r="AD240" i="7"/>
  <c r="AD288" i="7"/>
  <c r="AD296" i="7"/>
  <c r="AD304" i="7"/>
  <c r="AD312" i="7"/>
  <c r="AD325" i="7"/>
  <c r="AD333" i="7"/>
  <c r="AD341" i="7"/>
  <c r="O44" i="7"/>
  <c r="O60" i="7"/>
  <c r="O68" i="7"/>
  <c r="O5" i="7"/>
  <c r="O41" i="7"/>
  <c r="O57" i="7"/>
  <c r="O65" i="7"/>
  <c r="O58" i="7"/>
  <c r="O66" i="7"/>
  <c r="O24" i="7"/>
  <c r="O62" i="7"/>
  <c r="O48" i="7"/>
  <c r="O54" i="7"/>
  <c r="AD50" i="7"/>
  <c r="AD49" i="7"/>
  <c r="AD47" i="7"/>
  <c r="AD43" i="7"/>
  <c r="AD41" i="7"/>
  <c r="AD21" i="7"/>
  <c r="AD31" i="7"/>
  <c r="AD15" i="7"/>
  <c r="AD32" i="7"/>
  <c r="AD24" i="7"/>
  <c r="AD16" i="7"/>
  <c r="AD12" i="7"/>
  <c r="O47" i="7"/>
  <c r="O63" i="7"/>
  <c r="AD10" i="7"/>
  <c r="AD18" i="7"/>
  <c r="AD26" i="7"/>
  <c r="O27" i="7"/>
  <c r="O45" i="7"/>
  <c r="O61" i="7"/>
  <c r="AD11" i="7"/>
  <c r="AD19" i="7"/>
  <c r="AD27" i="7"/>
  <c r="O43" i="7"/>
  <c r="O59" i="7"/>
  <c r="AD5" i="7"/>
  <c r="AD9" i="7"/>
  <c r="AD17" i="7"/>
  <c r="AD25" i="7"/>
  <c r="AD33" i="7"/>
  <c r="AD6" i="7"/>
  <c r="AD14" i="7"/>
  <c r="AD22" i="7"/>
  <c r="AD30" i="7"/>
  <c r="O53" i="7"/>
  <c r="AD7" i="7"/>
  <c r="AD4" i="7"/>
  <c r="O30" i="7"/>
  <c r="O9" i="7"/>
  <c r="O4" i="7"/>
  <c r="O26" i="7"/>
  <c r="O29" i="7"/>
  <c r="O31" i="7"/>
  <c r="O33" i="7"/>
  <c r="O25" i="7"/>
  <c r="O17" i="7"/>
  <c r="O6" i="7"/>
  <c r="O15" i="7"/>
  <c r="O13" i="7"/>
  <c r="O22" i="7"/>
  <c r="O11" i="7"/>
  <c r="O19" i="7"/>
  <c r="O21" i="7"/>
  <c r="O23" i="7"/>
  <c r="O14" i="7"/>
  <c r="O12" i="7"/>
  <c r="O16" i="7"/>
  <c r="O18" i="7"/>
  <c r="O10" i="7"/>
  <c r="O20" i="7"/>
  <c r="AN55" i="7"/>
</calcChain>
</file>

<file path=xl/sharedStrings.xml><?xml version="1.0" encoding="utf-8"?>
<sst xmlns="http://schemas.openxmlformats.org/spreadsheetml/2006/main" count="748" uniqueCount="48">
  <si>
    <t>Goblin</t>
  </si>
  <si>
    <t>Troll</t>
  </si>
  <si>
    <t>Dark Elf</t>
  </si>
  <si>
    <t>Undead</t>
  </si>
  <si>
    <t>Lycanthrope</t>
  </si>
  <si>
    <t>Spirit</t>
  </si>
  <si>
    <t>Kobold</t>
  </si>
  <si>
    <t>Lizardfolk</t>
  </si>
  <si>
    <t>Icekin</t>
  </si>
  <si>
    <t>Orc</t>
  </si>
  <si>
    <t>Nomad</t>
  </si>
  <si>
    <t>The Nox</t>
  </si>
  <si>
    <t>Halfling</t>
  </si>
  <si>
    <t>Wood Elf</t>
  </si>
  <si>
    <t>Race</t>
  </si>
  <si>
    <t>Land</t>
  </si>
  <si>
    <t>Networth</t>
  </si>
  <si>
    <t>Results</t>
  </si>
  <si>
    <t>Dominion</t>
  </si>
  <si>
    <t>Difference?</t>
  </si>
  <si>
    <t>New:</t>
  </si>
  <si>
    <t>Gnome</t>
  </si>
  <si>
    <t>Merfolk</t>
  </si>
  <si>
    <t>Sylvan</t>
  </si>
  <si>
    <t>Firewalker</t>
  </si>
  <si>
    <t>Evil</t>
  </si>
  <si>
    <t>Land Min:</t>
  </si>
  <si>
    <t>Land Max:</t>
  </si>
  <si>
    <t>Networth Min:</t>
  </si>
  <si>
    <t>Networth Max:</t>
  </si>
  <si>
    <t>Search List 1</t>
  </si>
  <si>
    <t>Introduction</t>
  </si>
  <si>
    <t>Human</t>
  </si>
  <si>
    <t>Dwarf</t>
  </si>
  <si>
    <t>Alignment:</t>
  </si>
  <si>
    <t>Good</t>
  </si>
  <si>
    <t>#</t>
  </si>
  <si>
    <t>Open Dominion Beta Rd 14</t>
  </si>
  <si>
    <t>Sample Dominion</t>
  </si>
  <si>
    <t>Sample Dominion 2</t>
  </si>
  <si>
    <t>Sample Dominion 3</t>
  </si>
  <si>
    <t>Realm # / Name Goes Here</t>
  </si>
  <si>
    <r>
      <t xml:space="preserve"> </t>
    </r>
    <r>
      <rPr>
        <b/>
        <sz val="10"/>
        <color rgb="FF000000"/>
        <rFont val="Verdana"/>
        <family val="2"/>
      </rPr>
      <t>-Kari</t>
    </r>
  </si>
  <si>
    <t>All you have to do is copy/paste realm information in two fields, and it should show you any changes in land or networth. Let me know if there are any issues and I'll fix 'em.</t>
  </si>
  <si>
    <t>v 1.0</t>
  </si>
  <si>
    <t>Here's a manual Networth Tracker for use with Open Dominion. It was based on a DC tool that was originally created and maintained by Larceny. I just updated it to work with the new formatting.</t>
  </si>
  <si>
    <t>Day:</t>
  </si>
  <si>
    <t>Hour: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</si>
</sst>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Green]\+#,##0;[Red]\-#,##0;[Green]0"/>
  </numFmts>
  <fonts count="16">
    <font>
      <sz val="10"/>
      <name val="Verdana"/>
    </font>
    <font>
      <b/>
      <sz val="10"/>
      <name val="Verdana"/>
      <family val="2"/>
    </font>
    <font>
      <sz val="10"/>
      <name val="Verdana"/>
      <family val="2"/>
    </font>
    <font>
      <sz val="10"/>
      <color indexed="9"/>
      <name val="Verdana"/>
      <family val="2"/>
    </font>
    <font>
      <b/>
      <sz val="10"/>
      <color indexed="9"/>
      <name val="Verdana"/>
      <family val="2"/>
    </font>
    <font>
      <sz val="10"/>
      <color indexed="8"/>
      <name val="Verdana"/>
      <family val="2"/>
    </font>
    <font>
      <i/>
      <sz val="10"/>
      <color indexed="44"/>
      <name val="Verdana"/>
      <family val="2"/>
    </font>
    <font>
      <b/>
      <sz val="9"/>
      <color indexed="44"/>
      <name val="Verdana"/>
      <family val="2"/>
    </font>
    <font>
      <b/>
      <sz val="9"/>
      <name val="Verdana"/>
      <family val="2"/>
    </font>
    <font>
      <i/>
      <sz val="10"/>
      <color indexed="9"/>
      <name val="Verdana"/>
      <family val="2"/>
    </font>
    <font>
      <sz val="10"/>
      <color indexed="63"/>
      <name val="Verdana"/>
      <family val="2"/>
    </font>
    <font>
      <sz val="8"/>
      <name val="Verdana"/>
      <family val="2"/>
    </font>
    <font>
      <b/>
      <sz val="10"/>
      <color indexed="44"/>
      <name val="Verdana"/>
      <family val="2"/>
    </font>
    <font>
      <sz val="12"/>
      <color rgb="FF000000"/>
      <name val="Lucida Grande"/>
    </font>
    <font>
      <b/>
      <sz val="10"/>
      <color rgb="FF000000"/>
      <name val="Verdana"/>
      <family val="2"/>
    </font>
    <font>
      <sz val="9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</fills>
  <borders count="11">
    <border>
      <left/>
      <right/>
      <top/>
      <bottom/>
      <diagonal/>
    </border>
    <border>
      <left style="double">
        <color indexed="22"/>
      </left>
      <right/>
      <top/>
      <bottom/>
      <diagonal/>
    </border>
    <border>
      <left/>
      <right/>
      <top/>
      <bottom style="double">
        <color indexed="22"/>
      </bottom>
      <diagonal/>
    </border>
    <border>
      <left/>
      <right style="double">
        <color indexed="22"/>
      </right>
      <top/>
      <bottom/>
      <diagonal/>
    </border>
    <border>
      <left/>
      <right/>
      <top style="double">
        <color indexed="22"/>
      </top>
      <bottom style="double">
        <color indexed="22"/>
      </bottom>
      <diagonal/>
    </border>
    <border>
      <left/>
      <right/>
      <top style="double">
        <color indexed="22"/>
      </top>
      <bottom/>
      <diagonal/>
    </border>
    <border>
      <left style="double">
        <color indexed="22"/>
      </left>
      <right/>
      <top style="double">
        <color indexed="22"/>
      </top>
      <bottom/>
      <diagonal/>
    </border>
    <border>
      <left style="double">
        <color indexed="22"/>
      </left>
      <right/>
      <top/>
      <bottom style="double">
        <color indexed="22"/>
      </bottom>
      <diagonal/>
    </border>
    <border>
      <left/>
      <right style="double">
        <color indexed="22"/>
      </right>
      <top style="double">
        <color indexed="22"/>
      </top>
      <bottom/>
      <diagonal/>
    </border>
    <border>
      <left/>
      <right style="double">
        <color indexed="22"/>
      </right>
      <top style="double">
        <color indexed="22"/>
      </top>
      <bottom style="double">
        <color indexed="22"/>
      </bottom>
      <diagonal/>
    </border>
    <border>
      <left style="double">
        <color indexed="22"/>
      </left>
      <right/>
      <top style="double">
        <color indexed="22"/>
      </top>
      <bottom style="double">
        <color indexed="22"/>
      </bottom>
      <diagonal/>
    </border>
  </borders>
  <cellStyleXfs count="1">
    <xf numFmtId="0" fontId="0" fillId="0" borderId="0"/>
  </cellStyleXfs>
  <cellXfs count="72">
    <xf numFmtId="0" fontId="0" fillId="0" borderId="0" xfId="0"/>
    <xf numFmtId="3" fontId="0" fillId="0" borderId="0" xfId="0" applyNumberFormat="1"/>
    <xf numFmtId="0" fontId="0" fillId="2" borderId="0" xfId="0" applyFill="1"/>
    <xf numFmtId="0" fontId="0" fillId="0" borderId="0" xfId="0" applyFill="1"/>
    <xf numFmtId="0" fontId="3" fillId="2" borderId="0" xfId="0" applyFont="1" applyFill="1"/>
    <xf numFmtId="0" fontId="1" fillId="0" borderId="0" xfId="0" applyFont="1"/>
    <xf numFmtId="0" fontId="0" fillId="2" borderId="0" xfId="0" applyFill="1" applyBorder="1"/>
    <xf numFmtId="0" fontId="0" fillId="0" borderId="0" xfId="0" applyAlignment="1">
      <alignment horizontal="left"/>
    </xf>
    <xf numFmtId="0" fontId="6" fillId="2" borderId="0" xfId="0" applyFont="1" applyFill="1"/>
    <xf numFmtId="0" fontId="6" fillId="2" borderId="2" xfId="0" applyFont="1" applyFill="1" applyBorder="1"/>
    <xf numFmtId="0" fontId="0" fillId="2" borderId="3" xfId="0" applyFill="1" applyBorder="1"/>
    <xf numFmtId="0" fontId="0" fillId="2" borderId="5" xfId="0" applyFill="1" applyBorder="1"/>
    <xf numFmtId="0" fontId="0" fillId="0" borderId="5" xfId="0" applyBorder="1"/>
    <xf numFmtId="3" fontId="0" fillId="0" borderId="5" xfId="0" applyNumberFormat="1" applyBorder="1"/>
    <xf numFmtId="0" fontId="0" fillId="0" borderId="8" xfId="0" applyFill="1" applyBorder="1"/>
    <xf numFmtId="0" fontId="3" fillId="0" borderId="0" xfId="0" applyFont="1"/>
    <xf numFmtId="0" fontId="3" fillId="2" borderId="1" xfId="0" applyFont="1" applyFill="1" applyBorder="1"/>
    <xf numFmtId="3" fontId="0" fillId="0" borderId="0" xfId="0" applyNumberFormat="1" applyFill="1"/>
    <xf numFmtId="3" fontId="0" fillId="2" borderId="0" xfId="0" applyNumberFormat="1" applyFill="1"/>
    <xf numFmtId="0" fontId="8" fillId="0" borderId="0" xfId="0" applyFont="1" applyFill="1" applyAlignment="1">
      <alignment horizontal="left"/>
    </xf>
    <xf numFmtId="164" fontId="0" fillId="0" borderId="0" xfId="0" applyNumberFormat="1" applyFill="1"/>
    <xf numFmtId="0" fontId="2" fillId="0" borderId="0" xfId="0" applyFont="1" applyFill="1"/>
    <xf numFmtId="3" fontId="2" fillId="0" borderId="0" xfId="0" applyNumberFormat="1" applyFont="1" applyFill="1"/>
    <xf numFmtId="0" fontId="7" fillId="2" borderId="9" xfId="0" applyFont="1" applyFill="1" applyBorder="1" applyAlignment="1">
      <alignment horizontal="right"/>
    </xf>
    <xf numFmtId="0" fontId="7" fillId="2" borderId="8" xfId="0" applyFont="1" applyFill="1" applyBorder="1" applyAlignment="1">
      <alignment horizontal="right"/>
    </xf>
    <xf numFmtId="164" fontId="0" fillId="2" borderId="6" xfId="0" applyNumberFormat="1" applyFill="1" applyBorder="1"/>
    <xf numFmtId="164" fontId="0" fillId="2" borderId="10" xfId="0" applyNumberFormat="1" applyFill="1" applyBorder="1"/>
    <xf numFmtId="0" fontId="0" fillId="2" borderId="0" xfId="0" applyFill="1" applyAlignment="1">
      <alignment horizontal="left"/>
    </xf>
    <xf numFmtId="0" fontId="6" fillId="2" borderId="2" xfId="0" applyFont="1" applyFill="1" applyBorder="1" applyAlignment="1">
      <alignment horizontal="left"/>
    </xf>
    <xf numFmtId="0" fontId="8" fillId="0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left"/>
    </xf>
    <xf numFmtId="0" fontId="0" fillId="2" borderId="0" xfId="0" applyFill="1" applyBorder="1" applyAlignment="1">
      <alignment horizontal="left"/>
    </xf>
    <xf numFmtId="0" fontId="4" fillId="2" borderId="5" xfId="0" applyFont="1" applyFill="1" applyBorder="1" applyAlignment="1">
      <alignment horizontal="right"/>
    </xf>
    <xf numFmtId="0" fontId="9" fillId="3" borderId="5" xfId="0" applyFont="1" applyFill="1" applyBorder="1" applyAlignment="1">
      <alignment horizontal="left"/>
    </xf>
    <xf numFmtId="0" fontId="2" fillId="0" borderId="0" xfId="0" applyFont="1" applyFill="1" applyBorder="1"/>
    <xf numFmtId="0" fontId="2" fillId="0" borderId="0" xfId="0" applyFont="1"/>
    <xf numFmtId="0" fontId="0" fillId="0" borderId="5" xfId="0" applyFill="1" applyBorder="1"/>
    <xf numFmtId="0" fontId="12" fillId="2" borderId="0" xfId="0" applyFont="1" applyFill="1"/>
    <xf numFmtId="0" fontId="3" fillId="2" borderId="0" xfId="0" applyFont="1" applyFill="1" applyBorder="1"/>
    <xf numFmtId="0" fontId="5" fillId="0" borderId="6" xfId="0" applyFont="1" applyFill="1" applyBorder="1"/>
    <xf numFmtId="0" fontId="0" fillId="0" borderId="0" xfId="0" applyAlignment="1">
      <alignment wrapText="1"/>
    </xf>
    <xf numFmtId="3" fontId="0" fillId="0" borderId="0" xfId="0" applyNumberFormat="1" applyAlignment="1">
      <alignment wrapText="1"/>
    </xf>
    <xf numFmtId="20" fontId="9" fillId="3" borderId="5" xfId="0" applyNumberFormat="1" applyFont="1" applyFill="1" applyBorder="1" applyAlignment="1">
      <alignment horizontal="left"/>
    </xf>
    <xf numFmtId="0" fontId="5" fillId="0" borderId="0" xfId="0" applyFont="1" applyFill="1" applyBorder="1"/>
    <xf numFmtId="0" fontId="0" fillId="0" borderId="0" xfId="0" applyFill="1" applyBorder="1"/>
    <xf numFmtId="0" fontId="0" fillId="2" borderId="0" xfId="0" applyFill="1" applyAlignment="1">
      <alignment horizontal="right"/>
    </xf>
    <xf numFmtId="0" fontId="12" fillId="2" borderId="0" xfId="0" applyFont="1" applyFill="1" applyAlignment="1">
      <alignment horizontal="right"/>
    </xf>
    <xf numFmtId="0" fontId="5" fillId="4" borderId="0" xfId="0" applyFont="1" applyFill="1"/>
    <xf numFmtId="0" fontId="0" fillId="4" borderId="0" xfId="0" applyFill="1"/>
    <xf numFmtId="0" fontId="10" fillId="4" borderId="0" xfId="0" applyFont="1" applyFill="1"/>
    <xf numFmtId="0" fontId="0" fillId="4" borderId="3" xfId="0" applyFill="1" applyBorder="1"/>
    <xf numFmtId="0" fontId="0" fillId="4" borderId="0" xfId="0" applyFill="1" applyBorder="1"/>
    <xf numFmtId="0" fontId="4" fillId="5" borderId="0" xfId="0" applyFont="1" applyFill="1"/>
    <xf numFmtId="0" fontId="0" fillId="5" borderId="0" xfId="0" applyFill="1"/>
    <xf numFmtId="3" fontId="0" fillId="5" borderId="0" xfId="0" applyNumberFormat="1" applyFill="1"/>
    <xf numFmtId="0" fontId="0" fillId="5" borderId="0" xfId="0" applyFill="1" applyAlignment="1">
      <alignment horizontal="left"/>
    </xf>
    <xf numFmtId="0" fontId="4" fillId="6" borderId="0" xfId="0" applyFont="1" applyFill="1"/>
    <xf numFmtId="0" fontId="0" fillId="6" borderId="0" xfId="0" applyFill="1"/>
    <xf numFmtId="3" fontId="0" fillId="6" borderId="0" xfId="0" applyNumberFormat="1" applyFill="1"/>
    <xf numFmtId="0" fontId="0" fillId="6" borderId="0" xfId="0" applyFill="1" applyAlignment="1">
      <alignment horizontal="left"/>
    </xf>
    <xf numFmtId="0" fontId="0" fillId="7" borderId="0" xfId="0" applyFill="1"/>
    <xf numFmtId="0" fontId="4" fillId="7" borderId="0" xfId="0" applyFont="1" applyFill="1"/>
    <xf numFmtId="3" fontId="0" fillId="7" borderId="0" xfId="0" applyNumberFormat="1" applyFill="1"/>
    <xf numFmtId="0" fontId="0" fillId="7" borderId="0" xfId="0" applyFill="1" applyAlignment="1">
      <alignment horizontal="left"/>
    </xf>
    <xf numFmtId="0" fontId="4" fillId="8" borderId="0" xfId="0" applyFont="1" applyFill="1"/>
    <xf numFmtId="0" fontId="0" fillId="8" borderId="0" xfId="0" applyFill="1"/>
    <xf numFmtId="3" fontId="0" fillId="8" borderId="0" xfId="0" applyNumberFormat="1" applyFill="1"/>
    <xf numFmtId="0" fontId="0" fillId="8" borderId="0" xfId="0" applyFill="1" applyAlignment="1">
      <alignment horizontal="left"/>
    </xf>
    <xf numFmtId="0" fontId="6" fillId="4" borderId="0" xfId="0" applyFont="1" applyFill="1"/>
    <xf numFmtId="0" fontId="2" fillId="0" borderId="0" xfId="0" applyFont="1" applyAlignment="1">
      <alignment wrapText="1"/>
    </xf>
    <xf numFmtId="0" fontId="15" fillId="0" borderId="0" xfId="0" applyFont="1" applyFill="1" applyAlignment="1">
      <alignment horizontal="right"/>
    </xf>
    <xf numFmtId="0" fontId="8" fillId="0" borderId="2" xfId="0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1219200</xdr:colOff>
          <xdr:row>0</xdr:row>
          <xdr:rowOff>200025</xdr:rowOff>
        </xdr:from>
        <xdr:to>
          <xdr:col>3</xdr:col>
          <xdr:colOff>1990725</xdr:colOff>
          <xdr:row>0</xdr:row>
          <xdr:rowOff>466725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Lucida Grande"/>
                </a:rPr>
                <a:t>Update Networth Tracker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0</xdr:row>
          <xdr:rowOff>200025</xdr:rowOff>
        </xdr:from>
        <xdr:to>
          <xdr:col>10</xdr:col>
          <xdr:colOff>800100</xdr:colOff>
          <xdr:row>0</xdr:row>
          <xdr:rowOff>457200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Lucida Grande"/>
                </a:rPr>
                <a:t>Clear Networth Tracker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3:F8"/>
  <sheetViews>
    <sheetView topLeftCell="B1" zoomScale="85" zoomScaleNormal="85" workbookViewId="0">
      <selection activeCell="E26" sqref="E26"/>
    </sheetView>
  </sheetViews>
  <sheetFormatPr defaultColWidth="8.75" defaultRowHeight="12.75"/>
  <cols>
    <col min="1" max="1" width="8.75" customWidth="1"/>
    <col min="2" max="2" width="2" customWidth="1"/>
    <col min="3" max="3" width="14.375" customWidth="1"/>
    <col min="4" max="4" width="19.25" customWidth="1"/>
    <col min="5" max="5" width="133.125" customWidth="1"/>
    <col min="6" max="6" width="2.375" customWidth="1"/>
  </cols>
  <sheetData>
    <row r="3" spans="2:6" ht="13.5" thickBot="1">
      <c r="B3" s="2"/>
      <c r="C3" s="37" t="s">
        <v>31</v>
      </c>
      <c r="D3" s="2"/>
      <c r="E3" s="46" t="s">
        <v>37</v>
      </c>
      <c r="F3" s="2"/>
    </row>
    <row r="4" spans="2:6" ht="13.5" thickTop="1">
      <c r="B4" s="2"/>
      <c r="C4" s="39" t="s">
        <v>45</v>
      </c>
      <c r="D4" s="36"/>
      <c r="E4" s="14"/>
      <c r="F4" s="2"/>
    </row>
    <row r="5" spans="2:6">
      <c r="B5" s="2"/>
      <c r="C5" s="43" t="s">
        <v>43</v>
      </c>
      <c r="D5" s="44"/>
      <c r="E5" s="44"/>
      <c r="F5" s="2"/>
    </row>
    <row r="6" spans="2:6">
      <c r="B6" s="2"/>
      <c r="C6" s="43"/>
      <c r="D6" s="44"/>
      <c r="E6" s="44"/>
      <c r="F6" s="2"/>
    </row>
    <row r="7" spans="2:6">
      <c r="B7" s="2"/>
      <c r="C7" s="43" t="s">
        <v>42</v>
      </c>
      <c r="D7" s="44"/>
      <c r="E7" s="44"/>
      <c r="F7" s="2"/>
    </row>
    <row r="8" spans="2:6">
      <c r="B8" s="2"/>
      <c r="C8" s="45"/>
      <c r="D8" s="2"/>
      <c r="E8" s="46" t="s">
        <v>44</v>
      </c>
      <c r="F8" s="2"/>
    </row>
  </sheetData>
  <phoneticPr fontId="11" type="noConversion"/>
  <pageMargins left="0.75" right="0.75" top="1" bottom="1" header="0.5" footer="0.5"/>
  <pageSetup paperSize="9" scale="87" fitToWidth="3" fitToHeight="3" orientation="portrait" horizontalDpi="300" verticalDpi="30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1:AS351"/>
  <sheetViews>
    <sheetView tabSelected="1" zoomScale="85" zoomScaleNormal="85" workbookViewId="0">
      <selection activeCell="C351" sqref="C351:G351"/>
    </sheetView>
  </sheetViews>
  <sheetFormatPr defaultColWidth="11" defaultRowHeight="12.75"/>
  <cols>
    <col min="1" max="1" width="1.25" customWidth="1"/>
    <col min="2" max="2" width="1.125" customWidth="1"/>
    <col min="3" max="3" width="4.875" customWidth="1"/>
    <col min="4" max="4" width="30.625" customWidth="1"/>
    <col min="5" max="5" width="11.75" customWidth="1"/>
    <col min="6" max="6" width="5.875" customWidth="1"/>
    <col min="7" max="7" width="10" style="1" customWidth="1"/>
    <col min="8" max="10" width="1.25" customWidth="1"/>
    <col min="11" max="11" width="30.375" style="7" customWidth="1"/>
    <col min="12" max="12" width="11" customWidth="1"/>
    <col min="13" max="13" width="5.875" customWidth="1"/>
    <col min="14" max="14" width="10" customWidth="1"/>
    <col min="15" max="15" width="9.25" customWidth="1"/>
    <col min="16" max="16" width="2.25" style="15" customWidth="1"/>
    <col min="17" max="18" width="1.25" customWidth="1"/>
    <col min="19" max="19" width="8.75" customWidth="1"/>
    <col min="20" max="20" width="30.625" customWidth="1"/>
    <col min="21" max="21" width="11" customWidth="1"/>
    <col min="22" max="22" width="5.875" customWidth="1"/>
    <col min="23" max="23" width="11" customWidth="1"/>
    <col min="24" max="24" width="2.125" customWidth="1"/>
    <col min="25" max="25" width="1.75" customWidth="1"/>
    <col min="26" max="26" width="30.375" customWidth="1"/>
    <col min="27" max="27" width="11" customWidth="1"/>
    <col min="28" max="28" width="5.75" customWidth="1"/>
    <col min="29" max="29" width="10.375" customWidth="1"/>
    <col min="30" max="30" width="11" customWidth="1"/>
    <col min="31" max="31" width="3.625" style="15" customWidth="1"/>
    <col min="32" max="32" width="31.625" customWidth="1"/>
    <col min="33" max="33" width="11.125" customWidth="1"/>
    <col min="34" max="34" width="16" customWidth="1"/>
    <col min="35" max="35" width="11" customWidth="1"/>
    <col min="36" max="36" width="37.125" customWidth="1"/>
  </cols>
  <sheetData>
    <row r="1" spans="1:45" ht="39" customHeight="1">
      <c r="A1" s="2"/>
      <c r="B1" s="2"/>
      <c r="C1" s="2"/>
      <c r="D1" s="2"/>
      <c r="E1" s="2"/>
      <c r="F1" s="2"/>
      <c r="G1" s="18"/>
      <c r="H1" s="2"/>
      <c r="I1" s="2"/>
      <c r="J1" s="2"/>
      <c r="K1" s="27"/>
      <c r="L1" s="2"/>
      <c r="M1" s="2"/>
      <c r="N1" s="2"/>
      <c r="O1" s="2"/>
      <c r="P1" s="4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4"/>
    </row>
    <row r="2" spans="1:45">
      <c r="A2" s="47"/>
      <c r="B2" s="2"/>
      <c r="C2" s="52" t="s">
        <v>41</v>
      </c>
      <c r="D2" s="52"/>
      <c r="E2" s="53"/>
      <c r="F2" s="53"/>
      <c r="G2" s="54"/>
      <c r="H2" s="53"/>
      <c r="I2" s="53"/>
      <c r="J2" s="53"/>
      <c r="K2" s="55"/>
      <c r="L2" s="53"/>
      <c r="M2" s="53"/>
      <c r="N2" s="53"/>
      <c r="O2" s="53"/>
      <c r="P2" s="4"/>
      <c r="Q2" s="47"/>
      <c r="R2" s="48"/>
      <c r="S2" s="56" t="s">
        <v>41</v>
      </c>
      <c r="T2" s="56"/>
      <c r="U2" s="57"/>
      <c r="V2" s="57"/>
      <c r="W2" s="58"/>
      <c r="X2" s="57"/>
      <c r="Y2" s="57"/>
      <c r="Z2" s="59"/>
      <c r="AA2" s="57"/>
      <c r="AB2" s="57"/>
      <c r="AC2" s="57"/>
      <c r="AD2" s="57"/>
      <c r="AE2" s="4"/>
      <c r="AF2" s="34"/>
    </row>
    <row r="3" spans="1:45" ht="13.5" thickBot="1">
      <c r="A3" s="47"/>
      <c r="B3" s="2"/>
      <c r="C3" s="8" t="s">
        <v>36</v>
      </c>
      <c r="D3" s="8" t="s">
        <v>18</v>
      </c>
      <c r="E3" s="8" t="s">
        <v>14</v>
      </c>
      <c r="F3" s="8" t="s">
        <v>15</v>
      </c>
      <c r="G3" s="8" t="s">
        <v>16</v>
      </c>
      <c r="H3" s="2"/>
      <c r="I3" s="2"/>
      <c r="J3" s="2"/>
      <c r="K3" s="28" t="s">
        <v>17</v>
      </c>
      <c r="L3" s="9" t="s">
        <v>14</v>
      </c>
      <c r="M3" s="9" t="s">
        <v>15</v>
      </c>
      <c r="N3" s="9" t="s">
        <v>16</v>
      </c>
      <c r="O3" s="9" t="s">
        <v>19</v>
      </c>
      <c r="P3" s="4"/>
      <c r="Q3" s="47"/>
      <c r="R3" s="48"/>
      <c r="S3" s="8" t="s">
        <v>36</v>
      </c>
      <c r="T3" s="8" t="s">
        <v>18</v>
      </c>
      <c r="U3" s="8" t="s">
        <v>14</v>
      </c>
      <c r="V3" s="8" t="s">
        <v>15</v>
      </c>
      <c r="W3" s="8" t="s">
        <v>16</v>
      </c>
      <c r="X3" s="4"/>
      <c r="Y3" s="2"/>
      <c r="Z3" s="28" t="s">
        <v>17</v>
      </c>
      <c r="AA3" s="9" t="s">
        <v>14</v>
      </c>
      <c r="AB3" s="9" t="s">
        <v>15</v>
      </c>
      <c r="AC3" s="9" t="s">
        <v>16</v>
      </c>
      <c r="AD3" s="9" t="s">
        <v>19</v>
      </c>
      <c r="AE3" s="4"/>
    </row>
    <row r="4" spans="1:45" ht="14.25" thickTop="1" thickBot="1">
      <c r="A4" s="47"/>
      <c r="B4" s="10"/>
      <c r="C4" s="40">
        <v>1</v>
      </c>
      <c r="D4" s="69" t="s">
        <v>38</v>
      </c>
      <c r="E4" s="69" t="s">
        <v>13</v>
      </c>
      <c r="F4" s="41">
        <v>5000</v>
      </c>
      <c r="G4" s="41">
        <v>5000</v>
      </c>
      <c r="H4" s="18">
        <v>922689</v>
      </c>
      <c r="I4" s="51"/>
      <c r="J4" s="51"/>
      <c r="K4" s="71" t="str">
        <f>D4</f>
        <v>Sample Dominion</v>
      </c>
      <c r="L4" s="70" t="str">
        <f>E4</f>
        <v>Wood Elf</v>
      </c>
      <c r="M4" s="17">
        <f>F4</f>
        <v>5000</v>
      </c>
      <c r="N4" s="17">
        <f>G4</f>
        <v>5000</v>
      </c>
      <c r="O4" s="20">
        <f>M5-M4</f>
        <v>-500</v>
      </c>
      <c r="P4" s="16"/>
      <c r="Q4" s="49"/>
      <c r="R4" s="50"/>
      <c r="S4" s="40"/>
      <c r="T4" s="40"/>
      <c r="U4" s="40"/>
      <c r="V4" s="41"/>
      <c r="W4" s="41"/>
      <c r="X4" s="16"/>
      <c r="Y4" s="6"/>
      <c r="Z4" s="29">
        <f>T4</f>
        <v>0</v>
      </c>
      <c r="AA4" s="70">
        <f>U4</f>
        <v>0</v>
      </c>
      <c r="AB4" s="17">
        <f>V4</f>
        <v>0</v>
      </c>
      <c r="AC4" s="17">
        <f>W4</f>
        <v>0</v>
      </c>
      <c r="AD4" s="20" t="e">
        <f>AB5-AB4</f>
        <v>#N/A</v>
      </c>
      <c r="AE4" s="16"/>
    </row>
    <row r="5" spans="1:45" ht="14.25" thickTop="1" thickBot="1">
      <c r="A5" s="47"/>
      <c r="B5" s="10"/>
      <c r="C5" s="40">
        <v>2</v>
      </c>
      <c r="D5" s="69" t="s">
        <v>39</v>
      </c>
      <c r="E5" s="69" t="s">
        <v>5</v>
      </c>
      <c r="F5" s="41">
        <v>800</v>
      </c>
      <c r="G5" s="41">
        <v>1000</v>
      </c>
      <c r="H5" s="18">
        <v>896047</v>
      </c>
      <c r="I5" s="51"/>
      <c r="J5" s="51"/>
      <c r="K5" s="30"/>
      <c r="L5" s="23" t="s">
        <v>20</v>
      </c>
      <c r="M5" s="3">
        <f>VLOOKUP($D4,$D21:$G35,3,FALSE)</f>
        <v>4500</v>
      </c>
      <c r="N5" s="17">
        <f>VLOOKUP($D$4,$D21:$G35,4,FALSE)</f>
        <v>2000</v>
      </c>
      <c r="O5" s="26">
        <f>N5-N4</f>
        <v>-3000</v>
      </c>
      <c r="P5" s="16"/>
      <c r="Q5" s="49"/>
      <c r="R5" s="50"/>
      <c r="S5" s="40"/>
      <c r="T5" s="40"/>
      <c r="U5" s="40"/>
      <c r="V5" s="41"/>
      <c r="W5" s="41"/>
      <c r="X5" s="16"/>
      <c r="Y5" s="2"/>
      <c r="Z5" s="30"/>
      <c r="AA5" s="23" t="s">
        <v>20</v>
      </c>
      <c r="AB5" s="3" t="e">
        <f>VLOOKUP($T4,$T21:$W35,3,FALSE)</f>
        <v>#N/A</v>
      </c>
      <c r="AC5" s="17" t="e">
        <f>VLOOKUP($T4,$T21:$W35,4,FALSE)</f>
        <v>#N/A</v>
      </c>
      <c r="AD5" s="26" t="e">
        <f>AC5-AC4</f>
        <v>#N/A</v>
      </c>
      <c r="AE5" s="16"/>
    </row>
    <row r="6" spans="1:45" ht="14.25" thickTop="1" thickBot="1">
      <c r="A6" s="47"/>
      <c r="B6" s="10"/>
      <c r="C6" s="40">
        <v>3</v>
      </c>
      <c r="D6" s="69" t="s">
        <v>40</v>
      </c>
      <c r="E6" s="69" t="s">
        <v>9</v>
      </c>
      <c r="F6" s="41">
        <v>100</v>
      </c>
      <c r="G6" s="41">
        <v>200</v>
      </c>
      <c r="H6" s="18">
        <v>588467</v>
      </c>
      <c r="I6" s="51"/>
      <c r="J6" s="51"/>
      <c r="K6" s="19" t="str">
        <f>D5</f>
        <v>Sample Dominion 2</v>
      </c>
      <c r="L6" s="70" t="str">
        <f>E5</f>
        <v>Spirit</v>
      </c>
      <c r="M6" s="3">
        <f>F5</f>
        <v>800</v>
      </c>
      <c r="N6" s="17">
        <f>G5</f>
        <v>1000</v>
      </c>
      <c r="O6" s="20">
        <f>M7-M6</f>
        <v>0</v>
      </c>
      <c r="P6" s="16"/>
      <c r="Q6" s="49"/>
      <c r="R6" s="50"/>
      <c r="S6" s="40"/>
      <c r="T6" s="40"/>
      <c r="U6" s="40"/>
      <c r="V6" s="41"/>
      <c r="W6" s="41"/>
      <c r="X6" s="16"/>
      <c r="Y6" s="6"/>
      <c r="Z6" s="19">
        <f>T5</f>
        <v>0</v>
      </c>
      <c r="AA6" s="70">
        <f>U5</f>
        <v>0</v>
      </c>
      <c r="AB6" s="17">
        <f>V5</f>
        <v>0</v>
      </c>
      <c r="AC6" s="17">
        <f>W5</f>
        <v>0</v>
      </c>
      <c r="AD6" s="20" t="e">
        <f>AB7-AB6</f>
        <v>#N/A</v>
      </c>
      <c r="AE6" s="16"/>
      <c r="AG6" s="35"/>
    </row>
    <row r="7" spans="1:45" ht="14.25" thickTop="1" thickBot="1">
      <c r="A7" s="47"/>
      <c r="B7" s="10"/>
      <c r="C7" s="40"/>
      <c r="D7" s="40"/>
      <c r="E7" s="40"/>
      <c r="F7" s="41"/>
      <c r="G7" s="41"/>
      <c r="H7" s="18">
        <v>600459</v>
      </c>
      <c r="I7" s="51"/>
      <c r="J7" s="51"/>
      <c r="K7" s="30"/>
      <c r="L7" s="23" t="s">
        <v>20</v>
      </c>
      <c r="M7" s="3">
        <f>VLOOKUP($D5,$D21:$G35,3,FALSE)</f>
        <v>800</v>
      </c>
      <c r="N7" s="17">
        <f>VLOOKUP($D$5,$D21:$G35,4,FALSE)</f>
        <v>1000</v>
      </c>
      <c r="O7" s="26">
        <f>N7-N6</f>
        <v>0</v>
      </c>
      <c r="P7" s="16"/>
      <c r="Q7" s="49"/>
      <c r="R7" s="50"/>
      <c r="S7" s="40"/>
      <c r="T7" s="40"/>
      <c r="U7" s="40"/>
      <c r="V7" s="41"/>
      <c r="W7" s="41"/>
      <c r="X7" s="16"/>
      <c r="Y7" s="2"/>
      <c r="Z7" s="30"/>
      <c r="AA7" s="23" t="s">
        <v>20</v>
      </c>
      <c r="AB7" s="3" t="e">
        <f>VLOOKUP($T5,$T21:$W35,3,FALSE)</f>
        <v>#N/A</v>
      </c>
      <c r="AC7" s="17" t="e">
        <f>VLOOKUP($T5,$T21:$W35,4,FALSE)</f>
        <v>#N/A</v>
      </c>
      <c r="AD7" s="26" t="e">
        <f>AC7-AC6</f>
        <v>#N/A</v>
      </c>
      <c r="AE7" s="16"/>
    </row>
    <row r="8" spans="1:45" ht="14.25" thickTop="1" thickBot="1">
      <c r="A8" s="47"/>
      <c r="B8" s="10"/>
      <c r="C8" s="40"/>
      <c r="D8" s="40"/>
      <c r="E8" s="40"/>
      <c r="F8" s="41"/>
      <c r="G8" s="41"/>
      <c r="H8" s="18">
        <v>432716</v>
      </c>
      <c r="I8" s="51"/>
      <c r="J8" s="51"/>
      <c r="K8" s="19" t="str">
        <f>D6</f>
        <v>Sample Dominion 3</v>
      </c>
      <c r="L8" s="70" t="str">
        <f>E6</f>
        <v>Orc</v>
      </c>
      <c r="M8" s="3">
        <f>F6</f>
        <v>100</v>
      </c>
      <c r="N8" s="17">
        <f>G6</f>
        <v>200</v>
      </c>
      <c r="O8" s="20">
        <f>M9-M8</f>
        <v>0</v>
      </c>
      <c r="P8" s="16"/>
      <c r="Q8" s="49"/>
      <c r="R8" s="50"/>
      <c r="S8" s="40"/>
      <c r="T8" s="40"/>
      <c r="U8" s="40"/>
      <c r="V8" s="41"/>
      <c r="W8" s="41"/>
      <c r="X8" s="16"/>
      <c r="Y8" s="6"/>
      <c r="Z8" s="19">
        <f>T6</f>
        <v>0</v>
      </c>
      <c r="AA8" s="70">
        <f>U6</f>
        <v>0</v>
      </c>
      <c r="AB8" s="17">
        <f>V6</f>
        <v>0</v>
      </c>
      <c r="AC8" s="17">
        <f>W6</f>
        <v>0</v>
      </c>
      <c r="AD8" s="20" t="e">
        <f>AB9-AB8</f>
        <v>#N/A</v>
      </c>
      <c r="AE8" s="16"/>
    </row>
    <row r="9" spans="1:45" ht="14.25" thickTop="1" thickBot="1">
      <c r="A9" s="47"/>
      <c r="B9" s="10"/>
      <c r="C9" s="40"/>
      <c r="D9" s="40"/>
      <c r="E9" s="40"/>
      <c r="F9" s="41"/>
      <c r="G9" s="41"/>
      <c r="H9" s="18">
        <v>149538</v>
      </c>
      <c r="I9" s="51"/>
      <c r="J9" s="51"/>
      <c r="K9" s="30"/>
      <c r="L9" s="23" t="s">
        <v>20</v>
      </c>
      <c r="M9" s="3">
        <f>VLOOKUP($D6,$D21:$G35,3,FALSE)</f>
        <v>100</v>
      </c>
      <c r="N9" s="17">
        <f>VLOOKUP($D6,$D21:$G35,4,FALSE)</f>
        <v>50</v>
      </c>
      <c r="O9" s="26">
        <f>N9-N8</f>
        <v>-150</v>
      </c>
      <c r="P9" s="16"/>
      <c r="Q9" s="49"/>
      <c r="R9" s="50"/>
      <c r="S9" s="40"/>
      <c r="T9" s="40"/>
      <c r="U9" s="40"/>
      <c r="V9" s="41"/>
      <c r="W9" s="41"/>
      <c r="X9" s="16"/>
      <c r="Y9" s="2"/>
      <c r="Z9" s="30"/>
      <c r="AA9" s="23" t="s">
        <v>20</v>
      </c>
      <c r="AB9" s="3" t="e">
        <f>VLOOKUP($T6,$T21:$W35,3,FALSE)</f>
        <v>#N/A</v>
      </c>
      <c r="AC9" s="17" t="e">
        <f>VLOOKUP($T6,$T21:$W35,4,FALSE)</f>
        <v>#N/A</v>
      </c>
      <c r="AD9" s="26" t="e">
        <f>AC9-AC8</f>
        <v>#N/A</v>
      </c>
      <c r="AE9" s="16"/>
      <c r="AQ9" s="34" t="s">
        <v>30</v>
      </c>
    </row>
    <row r="10" spans="1:45" ht="14.25" thickTop="1" thickBot="1">
      <c r="A10" s="47"/>
      <c r="B10" s="10"/>
      <c r="C10" s="40"/>
      <c r="D10" s="40"/>
      <c r="E10" s="40"/>
      <c r="F10" s="41"/>
      <c r="G10" s="41"/>
      <c r="H10" s="18">
        <v>101933</v>
      </c>
      <c r="I10" s="51"/>
      <c r="J10" s="51"/>
      <c r="K10" s="19">
        <f>D7</f>
        <v>0</v>
      </c>
      <c r="L10" s="70">
        <f>E7</f>
        <v>0</v>
      </c>
      <c r="M10" s="3">
        <f>F7</f>
        <v>0</v>
      </c>
      <c r="N10" s="17">
        <f>G7</f>
        <v>0</v>
      </c>
      <c r="O10" s="20" t="e">
        <f>M11-M10</f>
        <v>#N/A</v>
      </c>
      <c r="P10" s="16"/>
      <c r="Q10" s="49"/>
      <c r="R10" s="50"/>
      <c r="S10" s="40"/>
      <c r="T10" s="40"/>
      <c r="U10" s="40"/>
      <c r="V10" s="40"/>
      <c r="W10" s="41"/>
      <c r="X10" s="16"/>
      <c r="Y10" s="6"/>
      <c r="Z10" s="19">
        <f>T7</f>
        <v>0</v>
      </c>
      <c r="AA10" s="70">
        <f>U7</f>
        <v>0</v>
      </c>
      <c r="AB10" s="17">
        <f>V7</f>
        <v>0</v>
      </c>
      <c r="AC10" s="17">
        <f>W7</f>
        <v>0</v>
      </c>
      <c r="AD10" s="20" t="e">
        <f>AB11-AB10</f>
        <v>#N/A</v>
      </c>
      <c r="AE10" s="16"/>
    </row>
    <row r="11" spans="1:45" ht="14.25" thickTop="1" thickBot="1">
      <c r="A11" s="47"/>
      <c r="B11" s="10"/>
      <c r="C11" s="40"/>
      <c r="D11" s="40"/>
      <c r="E11" s="40"/>
      <c r="F11" s="40"/>
      <c r="G11" s="41"/>
      <c r="H11" s="18">
        <v>6850</v>
      </c>
      <c r="I11" s="51"/>
      <c r="J11" s="51"/>
      <c r="K11" s="30"/>
      <c r="L11" s="23" t="s">
        <v>20</v>
      </c>
      <c r="M11" s="3" t="e">
        <f>VLOOKUP($D7,$D21:$G35,3,FALSE)</f>
        <v>#N/A</v>
      </c>
      <c r="N11" s="17" t="e">
        <f>VLOOKUP($D7,$D21:$G35,4,FALSE)</f>
        <v>#N/A</v>
      </c>
      <c r="O11" s="26" t="e">
        <f>N11-N10</f>
        <v>#N/A</v>
      </c>
      <c r="P11" s="16"/>
      <c r="Q11" s="49"/>
      <c r="R11" s="50"/>
      <c r="S11" s="40"/>
      <c r="T11" s="40"/>
      <c r="U11" s="40"/>
      <c r="V11" s="40"/>
      <c r="W11" s="41"/>
      <c r="X11" s="16"/>
      <c r="Y11" s="2"/>
      <c r="Z11" s="30"/>
      <c r="AA11" s="23" t="s">
        <v>20</v>
      </c>
      <c r="AB11" s="3" t="e">
        <f>VLOOKUP($T7,$T21:$W35,3,FALSE)</f>
        <v>#N/A</v>
      </c>
      <c r="AC11" s="17" t="e">
        <f>VLOOKUP($T7,$T21:$W35,4,FALSE)</f>
        <v>#N/A</v>
      </c>
      <c r="AD11" s="26" t="e">
        <f>AC11-AC10</f>
        <v>#N/A</v>
      </c>
      <c r="AE11" s="16"/>
      <c r="AQ11" t="s">
        <v>34</v>
      </c>
      <c r="AR11" s="5" t="s">
        <v>35</v>
      </c>
      <c r="AS11" s="5" t="s">
        <v>25</v>
      </c>
    </row>
    <row r="12" spans="1:45" ht="14.25" thickTop="1" thickBot="1">
      <c r="A12" s="47"/>
      <c r="B12" s="10"/>
      <c r="C12" s="40"/>
      <c r="D12" s="40"/>
      <c r="E12" s="40"/>
      <c r="F12" s="40"/>
      <c r="G12" s="41"/>
      <c r="H12" s="18">
        <v>6165</v>
      </c>
      <c r="I12" s="51"/>
      <c r="J12" s="51"/>
      <c r="K12" s="71">
        <f>D8</f>
        <v>0</v>
      </c>
      <c r="L12" s="70">
        <f>E8</f>
        <v>0</v>
      </c>
      <c r="M12" s="3">
        <f>F8</f>
        <v>0</v>
      </c>
      <c r="N12" s="17">
        <f>G8</f>
        <v>0</v>
      </c>
      <c r="O12" s="20" t="e">
        <f>M13-M12</f>
        <v>#N/A</v>
      </c>
      <c r="P12" s="16"/>
      <c r="Q12" s="49"/>
      <c r="R12" s="50"/>
      <c r="S12" s="40"/>
      <c r="T12" s="40"/>
      <c r="U12" s="40"/>
      <c r="V12" s="40"/>
      <c r="W12" s="41"/>
      <c r="X12" s="16"/>
      <c r="Y12" s="6"/>
      <c r="Z12" s="29">
        <f>T8</f>
        <v>0</v>
      </c>
      <c r="AA12" s="70">
        <f>U8</f>
        <v>0</v>
      </c>
      <c r="AB12" s="17">
        <f>V8</f>
        <v>0</v>
      </c>
      <c r="AC12" s="17">
        <f>W8</f>
        <v>0</v>
      </c>
      <c r="AD12" s="20" t="e">
        <f>AB13-AB12</f>
        <v>#N/A</v>
      </c>
      <c r="AE12" s="16"/>
      <c r="AQ12" t="s">
        <v>14</v>
      </c>
      <c r="AR12" t="s">
        <v>32</v>
      </c>
      <c r="AS12" t="s">
        <v>6</v>
      </c>
    </row>
    <row r="13" spans="1:45" ht="14.25" thickTop="1" thickBot="1">
      <c r="A13" s="47"/>
      <c r="B13" s="10"/>
      <c r="C13" s="40"/>
      <c r="D13" s="40"/>
      <c r="E13" s="40"/>
      <c r="F13" s="40"/>
      <c r="G13" s="41"/>
      <c r="H13" s="18">
        <v>6010</v>
      </c>
      <c r="I13" s="51"/>
      <c r="J13" s="51"/>
      <c r="K13" s="30"/>
      <c r="L13" s="23" t="s">
        <v>20</v>
      </c>
      <c r="M13" s="3" t="e">
        <f>VLOOKUP($D8,$D21:$G35,3,FALSE)</f>
        <v>#N/A</v>
      </c>
      <c r="N13" s="17" t="e">
        <f>VLOOKUP($D8,$D21:$G35,4,FALSE)</f>
        <v>#N/A</v>
      </c>
      <c r="O13" s="26" t="e">
        <f>N13-N12</f>
        <v>#N/A</v>
      </c>
      <c r="P13" s="16"/>
      <c r="Q13" s="49"/>
      <c r="R13" s="50"/>
      <c r="S13" s="40"/>
      <c r="T13" s="40"/>
      <c r="U13" s="40"/>
      <c r="V13" s="40"/>
      <c r="W13" s="41"/>
      <c r="X13" s="16"/>
      <c r="Y13" s="2"/>
      <c r="Z13" s="30"/>
      <c r="AA13" s="23" t="s">
        <v>20</v>
      </c>
      <c r="AB13" s="3" t="e">
        <f>VLOOKUP($T8,$T21:$W35,3,FALSE)</f>
        <v>#N/A</v>
      </c>
      <c r="AC13" s="17" t="e">
        <f>VLOOKUP($T8,$T21:$W35,4,FALSE)</f>
        <v>#N/A</v>
      </c>
      <c r="AD13" s="26" t="e">
        <f>AC13-AC12</f>
        <v>#N/A</v>
      </c>
      <c r="AE13" s="16"/>
      <c r="AR13" t="s">
        <v>33</v>
      </c>
      <c r="AS13" t="s">
        <v>0</v>
      </c>
    </row>
    <row r="14" spans="1:45" ht="14.25" thickTop="1" thickBot="1">
      <c r="A14" s="47"/>
      <c r="B14" s="10"/>
      <c r="C14" s="40"/>
      <c r="D14" s="40"/>
      <c r="E14" s="40"/>
      <c r="F14" s="40"/>
      <c r="G14" s="41"/>
      <c r="H14" s="2"/>
      <c r="I14" s="51"/>
      <c r="J14" s="51"/>
      <c r="K14" s="19">
        <f>D9</f>
        <v>0</v>
      </c>
      <c r="L14" s="70">
        <f>E9</f>
        <v>0</v>
      </c>
      <c r="M14" s="3">
        <f>F9</f>
        <v>0</v>
      </c>
      <c r="N14" s="17">
        <f>G9</f>
        <v>0</v>
      </c>
      <c r="O14" s="20" t="e">
        <f>M15-M14</f>
        <v>#N/A</v>
      </c>
      <c r="P14" s="16"/>
      <c r="Q14" s="49"/>
      <c r="R14" s="50"/>
      <c r="S14" s="40"/>
      <c r="T14" s="40"/>
      <c r="U14" s="40"/>
      <c r="V14" s="40"/>
      <c r="W14" s="41"/>
      <c r="X14" s="16"/>
      <c r="Y14" s="6"/>
      <c r="Z14" s="19">
        <f>T9</f>
        <v>0</v>
      </c>
      <c r="AA14" s="70">
        <f>U9</f>
        <v>0</v>
      </c>
      <c r="AB14" s="17">
        <f>V9</f>
        <v>0</v>
      </c>
      <c r="AC14" s="17">
        <f>W9</f>
        <v>0</v>
      </c>
      <c r="AD14" s="20" t="e">
        <f>AB15-AB14</f>
        <v>#N/A</v>
      </c>
      <c r="AE14" s="16"/>
      <c r="AR14" t="s">
        <v>12</v>
      </c>
      <c r="AS14" t="s">
        <v>4</v>
      </c>
    </row>
    <row r="15" spans="1:45" ht="14.25" thickTop="1" thickBot="1">
      <c r="A15" s="47"/>
      <c r="B15" s="10"/>
      <c r="C15" s="40"/>
      <c r="D15" s="40"/>
      <c r="E15" s="40"/>
      <c r="F15" s="40"/>
      <c r="G15" s="41"/>
      <c r="H15" s="2"/>
      <c r="I15" s="51"/>
      <c r="J15" s="51"/>
      <c r="K15" s="30"/>
      <c r="L15" s="23" t="s">
        <v>20</v>
      </c>
      <c r="M15" s="3" t="e">
        <f>VLOOKUP($D9,$D21:$G35,3,FALSE)</f>
        <v>#N/A</v>
      </c>
      <c r="N15" s="17" t="e">
        <f>VLOOKUP($D9,$D21:$G35,4,FALSE)</f>
        <v>#N/A</v>
      </c>
      <c r="O15" s="26" t="e">
        <f>N15-N14</f>
        <v>#N/A</v>
      </c>
      <c r="P15" s="16"/>
      <c r="Q15" s="49"/>
      <c r="R15" s="50"/>
      <c r="S15" s="40"/>
      <c r="T15" s="40"/>
      <c r="U15" s="40"/>
      <c r="V15" s="40"/>
      <c r="W15" s="41"/>
      <c r="X15" s="16"/>
      <c r="Y15" s="2"/>
      <c r="Z15" s="30"/>
      <c r="AA15" s="23" t="s">
        <v>20</v>
      </c>
      <c r="AB15" s="3" t="e">
        <f>VLOOKUP($T9,$T21:$W35,3,FALSE)</f>
        <v>#N/A</v>
      </c>
      <c r="AC15" s="17" t="e">
        <f>VLOOKUP($T9,$T21:$W35,4,FALSE)</f>
        <v>#N/A</v>
      </c>
      <c r="AD15" s="26" t="e">
        <f>AC15-AC14</f>
        <v>#N/A</v>
      </c>
      <c r="AE15" s="16"/>
      <c r="AR15" t="s">
        <v>13</v>
      </c>
      <c r="AS15" t="s">
        <v>3</v>
      </c>
    </row>
    <row r="16" spans="1:45" ht="14.25" thickTop="1" thickBot="1">
      <c r="A16" s="47"/>
      <c r="B16" s="10"/>
      <c r="H16" s="2"/>
      <c r="I16" s="51"/>
      <c r="J16" s="51"/>
      <c r="K16" s="19">
        <f>D10</f>
        <v>0</v>
      </c>
      <c r="L16" s="70">
        <f>E10</f>
        <v>0</v>
      </c>
      <c r="M16" s="3">
        <f>F10</f>
        <v>0</v>
      </c>
      <c r="N16" s="17">
        <f>G10</f>
        <v>0</v>
      </c>
      <c r="O16" s="20" t="e">
        <f>M17-M16</f>
        <v>#N/A</v>
      </c>
      <c r="P16" s="16"/>
      <c r="Q16" s="49"/>
      <c r="R16" s="50"/>
      <c r="W16" s="1"/>
      <c r="X16" s="16"/>
      <c r="Y16" s="6"/>
      <c r="Z16" s="19">
        <f>T10</f>
        <v>0</v>
      </c>
      <c r="AA16" s="70">
        <f>U10</f>
        <v>0</v>
      </c>
      <c r="AB16" s="17">
        <f>V10</f>
        <v>0</v>
      </c>
      <c r="AC16" s="17">
        <f>W10</f>
        <v>0</v>
      </c>
      <c r="AD16" s="20" t="e">
        <f>AB17-AB16</f>
        <v>#N/A</v>
      </c>
      <c r="AE16" s="16"/>
      <c r="AR16" t="s">
        <v>23</v>
      </c>
      <c r="AS16" t="s">
        <v>1</v>
      </c>
    </row>
    <row r="17" spans="1:45" ht="14.25" thickTop="1" thickBot="1">
      <c r="A17" s="47"/>
      <c r="B17" s="10"/>
      <c r="H17" s="2"/>
      <c r="I17" s="51"/>
      <c r="J17" s="51"/>
      <c r="K17" s="30"/>
      <c r="L17" s="23" t="s">
        <v>20</v>
      </c>
      <c r="M17" s="3" t="e">
        <f>VLOOKUP($D10,$D21:$G35,3,FALSE)</f>
        <v>#N/A</v>
      </c>
      <c r="N17" s="17" t="e">
        <f>VLOOKUP($D10,$D21:$G35,4,FALSE)</f>
        <v>#N/A</v>
      </c>
      <c r="O17" s="26" t="e">
        <f>N17-N16</f>
        <v>#N/A</v>
      </c>
      <c r="P17" s="16"/>
      <c r="Q17" s="49"/>
      <c r="R17" s="50"/>
      <c r="W17" s="1"/>
      <c r="X17" s="16"/>
      <c r="Y17" s="2"/>
      <c r="Z17" s="30"/>
      <c r="AA17" s="23" t="s">
        <v>20</v>
      </c>
      <c r="AB17" s="3" t="e">
        <f>VLOOKUP($T10,$T21:$W35,3,FALSE)</f>
        <v>#N/A</v>
      </c>
      <c r="AC17" s="17" t="e">
        <f>VLOOKUP($T10,$T21:$W35,4,FALSE)</f>
        <v>#N/A</v>
      </c>
      <c r="AD17" s="26" t="e">
        <f>AC17-AC16</f>
        <v>#N/A</v>
      </c>
      <c r="AE17" s="16"/>
      <c r="AR17" t="s">
        <v>22</v>
      </c>
      <c r="AS17" t="s">
        <v>8</v>
      </c>
    </row>
    <row r="18" spans="1:45" ht="14.25" thickTop="1" thickBot="1">
      <c r="A18" s="47"/>
      <c r="B18" s="10"/>
      <c r="H18" s="2"/>
      <c r="I18" s="51"/>
      <c r="J18" s="51"/>
      <c r="K18" s="19">
        <f>D11</f>
        <v>0</v>
      </c>
      <c r="L18" s="70">
        <f>E11</f>
        <v>0</v>
      </c>
      <c r="M18" s="21">
        <f>F11</f>
        <v>0</v>
      </c>
      <c r="N18" s="22">
        <f>G11</f>
        <v>0</v>
      </c>
      <c r="O18" s="20" t="e">
        <f>M19-M18</f>
        <v>#N/A</v>
      </c>
      <c r="P18" s="16"/>
      <c r="Q18" s="49"/>
      <c r="R18" s="50"/>
      <c r="W18" s="1"/>
      <c r="X18" s="16"/>
      <c r="Y18" s="6"/>
      <c r="Z18" s="19">
        <f>T11</f>
        <v>0</v>
      </c>
      <c r="AA18" s="70">
        <f>U11</f>
        <v>0</v>
      </c>
      <c r="AB18" s="17">
        <f>V11</f>
        <v>0</v>
      </c>
      <c r="AC18" s="17">
        <f>W11</f>
        <v>0</v>
      </c>
      <c r="AD18" s="20" t="e">
        <f>AB19-AB18</f>
        <v>#N/A</v>
      </c>
      <c r="AE18" s="16"/>
      <c r="AR18" t="s">
        <v>21</v>
      </c>
      <c r="AS18" t="s">
        <v>7</v>
      </c>
    </row>
    <row r="19" spans="1:45" ht="14.25" thickTop="1" thickBot="1">
      <c r="A19" s="47"/>
      <c r="B19" s="2"/>
      <c r="C19" s="32"/>
      <c r="D19" s="32" t="s">
        <v>46</v>
      </c>
      <c r="E19" s="42"/>
      <c r="F19" s="32" t="s">
        <v>47</v>
      </c>
      <c r="G19" s="33"/>
      <c r="H19" s="2"/>
      <c r="I19" s="51"/>
      <c r="J19" s="51"/>
      <c r="K19" s="30"/>
      <c r="L19" s="23" t="s">
        <v>20</v>
      </c>
      <c r="M19" s="3" t="e">
        <f>VLOOKUP($D11,$D21:$G35,3,FALSE)</f>
        <v>#N/A</v>
      </c>
      <c r="N19" s="17" t="e">
        <f>VLOOKUP($D11,$D21:$G35,4,FALSE)</f>
        <v>#N/A</v>
      </c>
      <c r="O19" s="26" t="e">
        <f>N19-N18</f>
        <v>#N/A</v>
      </c>
      <c r="P19" s="16"/>
      <c r="Q19" s="49"/>
      <c r="R19" s="48"/>
      <c r="S19" s="32"/>
      <c r="T19" s="32" t="s">
        <v>46</v>
      </c>
      <c r="U19" s="42"/>
      <c r="V19" s="32" t="s">
        <v>47</v>
      </c>
      <c r="W19" s="33"/>
      <c r="X19" s="16"/>
      <c r="Y19" s="2"/>
      <c r="Z19" s="30"/>
      <c r="AA19" s="23" t="s">
        <v>20</v>
      </c>
      <c r="AB19" s="3" t="e">
        <f>VLOOKUP($T11,$T21:$W35,3,FALSE)</f>
        <v>#N/A</v>
      </c>
      <c r="AC19" s="17" t="e">
        <f>VLOOKUP($T11,$T21:$W35,4,FALSE)</f>
        <v>#N/A</v>
      </c>
      <c r="AD19" s="26" t="e">
        <f>AC19-AC18</f>
        <v>#N/A</v>
      </c>
      <c r="AE19" s="16"/>
      <c r="AR19" t="s">
        <v>24</v>
      </c>
      <c r="AS19" t="s">
        <v>11</v>
      </c>
    </row>
    <row r="20" spans="1:45" ht="14.25" thickTop="1" thickBot="1">
      <c r="A20" s="47"/>
      <c r="B20" s="6"/>
      <c r="C20" s="8" t="s">
        <v>36</v>
      </c>
      <c r="D20" s="8" t="s">
        <v>18</v>
      </c>
      <c r="E20" s="8" t="s">
        <v>14</v>
      </c>
      <c r="F20" s="8" t="s">
        <v>15</v>
      </c>
      <c r="G20" s="8" t="s">
        <v>16</v>
      </c>
      <c r="H20" s="2"/>
      <c r="I20" s="51"/>
      <c r="J20" s="51"/>
      <c r="K20" s="71">
        <f>D12</f>
        <v>0</v>
      </c>
      <c r="L20" s="70">
        <f>E12</f>
        <v>0</v>
      </c>
      <c r="M20" s="3">
        <f>F12</f>
        <v>0</v>
      </c>
      <c r="N20" s="17">
        <f>G12</f>
        <v>0</v>
      </c>
      <c r="O20" s="20" t="e">
        <f>M21-M20</f>
        <v>#N/A</v>
      </c>
      <c r="P20" s="16"/>
      <c r="Q20" s="49"/>
      <c r="R20" s="51"/>
      <c r="S20" s="8" t="s">
        <v>36</v>
      </c>
      <c r="T20" s="8" t="s">
        <v>18</v>
      </c>
      <c r="U20" s="8" t="s">
        <v>14</v>
      </c>
      <c r="V20" s="8" t="s">
        <v>15</v>
      </c>
      <c r="W20" s="8" t="s">
        <v>16</v>
      </c>
      <c r="X20" s="16"/>
      <c r="Y20" s="6"/>
      <c r="Z20" s="29">
        <f>T12</f>
        <v>0</v>
      </c>
      <c r="AA20" s="70">
        <f>U12</f>
        <v>0</v>
      </c>
      <c r="AB20" s="17">
        <f>V12</f>
        <v>0</v>
      </c>
      <c r="AC20" s="17">
        <f>W12</f>
        <v>0</v>
      </c>
      <c r="AD20" s="20" t="e">
        <f>AB21-AB20</f>
        <v>#N/A</v>
      </c>
      <c r="AE20" s="16"/>
      <c r="AR20" t="s">
        <v>5</v>
      </c>
      <c r="AS20" t="s">
        <v>2</v>
      </c>
    </row>
    <row r="21" spans="1:45" ht="14.25" thickTop="1" thickBot="1">
      <c r="A21" s="47"/>
      <c r="B21" s="10"/>
      <c r="C21" s="40">
        <v>1</v>
      </c>
      <c r="D21" s="69" t="s">
        <v>38</v>
      </c>
      <c r="E21" s="69" t="s">
        <v>13</v>
      </c>
      <c r="F21" s="41">
        <v>4500</v>
      </c>
      <c r="G21" s="41">
        <v>2000</v>
      </c>
      <c r="H21" s="2"/>
      <c r="I21" s="51"/>
      <c r="J21" s="51"/>
      <c r="K21" s="30"/>
      <c r="L21" s="23" t="s">
        <v>20</v>
      </c>
      <c r="M21" s="3" t="e">
        <f>VLOOKUP($D12,$D21:$G35,3,FALSE)</f>
        <v>#N/A</v>
      </c>
      <c r="N21" s="17" t="e">
        <f>VLOOKUP($D12,$D21:$G35,4,FALSE)</f>
        <v>#N/A</v>
      </c>
      <c r="O21" s="26" t="e">
        <f>N21-N20</f>
        <v>#N/A</v>
      </c>
      <c r="P21" s="16"/>
      <c r="Q21" s="49"/>
      <c r="R21" s="50"/>
      <c r="S21" s="40"/>
      <c r="T21" s="40"/>
      <c r="U21" s="40"/>
      <c r="V21" s="41"/>
      <c r="W21" s="41"/>
      <c r="X21" s="16"/>
      <c r="Y21" s="2"/>
      <c r="Z21" s="30"/>
      <c r="AA21" s="23" t="s">
        <v>20</v>
      </c>
      <c r="AB21" s="3" t="e">
        <f>VLOOKUP($T12,$T21:$W35,3,FALSE)</f>
        <v>#N/A</v>
      </c>
      <c r="AC21" s="17" t="e">
        <f>VLOOKUP($T12,$T21:$W35,4,FALSE)</f>
        <v>#N/A</v>
      </c>
      <c r="AD21" s="26" t="e">
        <f>AC21-AC20</f>
        <v>#N/A</v>
      </c>
      <c r="AE21" s="16"/>
      <c r="AS21" t="s">
        <v>9</v>
      </c>
    </row>
    <row r="22" spans="1:45" ht="14.25" thickTop="1" thickBot="1">
      <c r="A22" s="47"/>
      <c r="B22" s="10"/>
      <c r="C22" s="40">
        <v>2</v>
      </c>
      <c r="D22" s="69" t="s">
        <v>39</v>
      </c>
      <c r="E22" s="69" t="s">
        <v>5</v>
      </c>
      <c r="F22" s="41">
        <v>800</v>
      </c>
      <c r="G22" s="41">
        <v>1000</v>
      </c>
      <c r="H22" s="2"/>
      <c r="I22" s="51"/>
      <c r="J22" s="51"/>
      <c r="K22" s="19">
        <f>D13</f>
        <v>0</v>
      </c>
      <c r="L22" s="70">
        <f>E13</f>
        <v>0</v>
      </c>
      <c r="M22" s="3">
        <f>F13</f>
        <v>0</v>
      </c>
      <c r="N22" s="17">
        <f>G13</f>
        <v>0</v>
      </c>
      <c r="O22" s="20" t="e">
        <f>M23-M22</f>
        <v>#N/A</v>
      </c>
      <c r="P22" s="16"/>
      <c r="Q22" s="49"/>
      <c r="R22" s="50"/>
      <c r="S22" s="40"/>
      <c r="T22" s="40"/>
      <c r="U22" s="40"/>
      <c r="V22" s="41"/>
      <c r="W22" s="41"/>
      <c r="X22" s="16"/>
      <c r="Y22" s="6"/>
      <c r="Z22" s="19">
        <f>T13</f>
        <v>0</v>
      </c>
      <c r="AA22" s="70">
        <f>U13</f>
        <v>0</v>
      </c>
      <c r="AB22" s="17">
        <f>V13</f>
        <v>0</v>
      </c>
      <c r="AC22" s="17">
        <f>W13</f>
        <v>0</v>
      </c>
      <c r="AD22" s="20" t="e">
        <f>AB23-AB22</f>
        <v>#N/A</v>
      </c>
      <c r="AE22" s="16"/>
      <c r="AS22" t="s">
        <v>10</v>
      </c>
    </row>
    <row r="23" spans="1:45" ht="14.25" thickTop="1" thickBot="1">
      <c r="A23" s="47"/>
      <c r="B23" s="10"/>
      <c r="C23" s="40">
        <v>3</v>
      </c>
      <c r="D23" s="69" t="s">
        <v>40</v>
      </c>
      <c r="E23" s="69" t="s">
        <v>5</v>
      </c>
      <c r="F23" s="41">
        <v>100</v>
      </c>
      <c r="G23" s="41">
        <v>50</v>
      </c>
      <c r="H23" s="2"/>
      <c r="I23" s="51"/>
      <c r="J23" s="51"/>
      <c r="K23" s="30"/>
      <c r="L23" s="23" t="s">
        <v>20</v>
      </c>
      <c r="M23" s="3" t="e">
        <f>VLOOKUP($D13,$D21:$G35,3,FALSE)</f>
        <v>#N/A</v>
      </c>
      <c r="N23" s="17" t="e">
        <f>VLOOKUP($D13,$D21:$G35,4,FALSE)</f>
        <v>#N/A</v>
      </c>
      <c r="O23" s="26" t="e">
        <f>N23-N22</f>
        <v>#N/A</v>
      </c>
      <c r="P23" s="16"/>
      <c r="Q23" s="49"/>
      <c r="R23" s="50"/>
      <c r="S23" s="40"/>
      <c r="T23" s="40"/>
      <c r="U23" s="40"/>
      <c r="V23" s="41"/>
      <c r="W23" s="41"/>
      <c r="X23" s="16"/>
      <c r="Y23" s="2"/>
      <c r="Z23" s="30"/>
      <c r="AA23" s="23" t="s">
        <v>20</v>
      </c>
      <c r="AB23" s="3" t="e">
        <f>VLOOKUP($T13,$T21:$W35,3,FALSE)</f>
        <v>#N/A</v>
      </c>
      <c r="AC23" s="17" t="e">
        <f>VLOOKUP($T13,$T21:$W35,4,FALSE)</f>
        <v>#N/A</v>
      </c>
      <c r="AD23" s="26" t="e">
        <f>AC23-AC22</f>
        <v>#N/A</v>
      </c>
      <c r="AE23" s="16"/>
    </row>
    <row r="24" spans="1:45" ht="14.25" thickTop="1" thickBot="1">
      <c r="A24" s="47"/>
      <c r="B24" s="10"/>
      <c r="C24" s="40"/>
      <c r="D24" s="40"/>
      <c r="E24" s="40"/>
      <c r="F24" s="41"/>
      <c r="G24" s="41"/>
      <c r="H24" s="2"/>
      <c r="I24" s="51"/>
      <c r="J24" s="51"/>
      <c r="K24" s="19">
        <f>D14</f>
        <v>0</v>
      </c>
      <c r="L24" s="70">
        <f>E14</f>
        <v>0</v>
      </c>
      <c r="M24" s="3">
        <f>F14</f>
        <v>0</v>
      </c>
      <c r="N24" s="17">
        <f>G14</f>
        <v>0</v>
      </c>
      <c r="O24" s="20" t="e">
        <f>M25-M24</f>
        <v>#N/A</v>
      </c>
      <c r="P24" s="16"/>
      <c r="Q24" s="49"/>
      <c r="R24" s="50"/>
      <c r="S24" s="40"/>
      <c r="T24" s="40"/>
      <c r="U24" s="40"/>
      <c r="V24" s="41"/>
      <c r="W24" s="41"/>
      <c r="X24" s="16"/>
      <c r="Y24" s="6"/>
      <c r="Z24" s="19">
        <f>T14</f>
        <v>0</v>
      </c>
      <c r="AA24" s="70">
        <f>U14</f>
        <v>0</v>
      </c>
      <c r="AB24" s="17">
        <f>V14</f>
        <v>0</v>
      </c>
      <c r="AC24" s="17">
        <f>W14</f>
        <v>0</v>
      </c>
      <c r="AD24" s="20" t="e">
        <f>AB25-AB24</f>
        <v>#N/A</v>
      </c>
      <c r="AE24" s="16"/>
      <c r="AQ24" t="s">
        <v>26</v>
      </c>
      <c r="AR24">
        <v>500</v>
      </c>
    </row>
    <row r="25" spans="1:45" ht="14.25" thickTop="1" thickBot="1">
      <c r="A25" s="47"/>
      <c r="B25" s="10"/>
      <c r="C25" s="40"/>
      <c r="D25" s="40"/>
      <c r="E25" s="40"/>
      <c r="F25" s="41"/>
      <c r="G25" s="41"/>
      <c r="H25" s="2"/>
      <c r="I25" s="51"/>
      <c r="J25" s="51"/>
      <c r="K25" s="30"/>
      <c r="L25" s="23" t="s">
        <v>20</v>
      </c>
      <c r="M25" s="3" t="e">
        <f>VLOOKUP($D14,$D21:$G35,3,FALSE)</f>
        <v>#N/A</v>
      </c>
      <c r="N25" s="17" t="e">
        <f>VLOOKUP($D14,$D21:$G35,4,FALSE)</f>
        <v>#N/A</v>
      </c>
      <c r="O25" s="26" t="e">
        <f>N25-N24</f>
        <v>#N/A</v>
      </c>
      <c r="P25" s="16"/>
      <c r="Q25" s="49"/>
      <c r="R25" s="50"/>
      <c r="S25" s="40"/>
      <c r="T25" s="40"/>
      <c r="U25" s="40"/>
      <c r="V25" s="41"/>
      <c r="W25" s="41"/>
      <c r="X25" s="16"/>
      <c r="Y25" s="2"/>
      <c r="Z25" s="30"/>
      <c r="AA25" s="23" t="s">
        <v>20</v>
      </c>
      <c r="AB25" s="3" t="e">
        <f>VLOOKUP($T14,$T21:$W35,3,FALSE)</f>
        <v>#N/A</v>
      </c>
      <c r="AC25" s="17" t="e">
        <f>VLOOKUP($T14,$T21:$W35,4,FALSE)</f>
        <v>#N/A</v>
      </c>
      <c r="AD25" s="26" t="e">
        <f>AC25-AC24</f>
        <v>#N/A</v>
      </c>
      <c r="AE25" s="16"/>
      <c r="AQ25" t="s">
        <v>27</v>
      </c>
      <c r="AR25">
        <v>1500</v>
      </c>
    </row>
    <row r="26" spans="1:45" ht="14.25" thickTop="1" thickBot="1">
      <c r="A26" s="47"/>
      <c r="B26" s="10"/>
      <c r="C26" s="40"/>
      <c r="D26" s="40"/>
      <c r="E26" s="40"/>
      <c r="F26" s="41"/>
      <c r="G26" s="41"/>
      <c r="H26" s="2"/>
      <c r="I26" s="51"/>
      <c r="J26" s="51"/>
      <c r="K26" s="19">
        <f>D15</f>
        <v>0</v>
      </c>
      <c r="L26" s="70">
        <f>E15</f>
        <v>0</v>
      </c>
      <c r="M26" s="3">
        <f>F15</f>
        <v>0</v>
      </c>
      <c r="N26" s="17">
        <f>G15</f>
        <v>0</v>
      </c>
      <c r="O26" s="20" t="e">
        <f>M27-M26</f>
        <v>#N/A</v>
      </c>
      <c r="P26" s="16"/>
      <c r="Q26" s="49"/>
      <c r="R26" s="50"/>
      <c r="S26" s="40"/>
      <c r="T26" s="40"/>
      <c r="U26" s="40"/>
      <c r="V26" s="41"/>
      <c r="W26" s="41"/>
      <c r="X26" s="16"/>
      <c r="Y26" s="6"/>
      <c r="Z26" s="19">
        <f>T15</f>
        <v>0</v>
      </c>
      <c r="AA26" s="70">
        <f>U15</f>
        <v>0</v>
      </c>
      <c r="AB26" s="17">
        <f>V15</f>
        <v>0</v>
      </c>
      <c r="AC26" s="17">
        <f>W15</f>
        <v>0</v>
      </c>
      <c r="AD26" s="20" t="e">
        <f>AB27-AB26</f>
        <v>#N/A</v>
      </c>
      <c r="AE26" s="16"/>
    </row>
    <row r="27" spans="1:45" ht="14.25" thickTop="1" thickBot="1">
      <c r="A27" s="47"/>
      <c r="B27" s="10"/>
      <c r="C27" s="40"/>
      <c r="D27" s="40"/>
      <c r="E27" s="40"/>
      <c r="F27" s="41"/>
      <c r="G27" s="41"/>
      <c r="H27" s="2"/>
      <c r="I27" s="51"/>
      <c r="J27" s="51"/>
      <c r="K27" s="30"/>
      <c r="L27" s="23" t="s">
        <v>20</v>
      </c>
      <c r="M27" s="3" t="e">
        <f>VLOOKUP($D15,$D21:$G35,3,FALSE)</f>
        <v>#N/A</v>
      </c>
      <c r="N27" s="17" t="e">
        <f>VLOOKUP($D15,$D21:$G35,4,FALSE)</f>
        <v>#N/A</v>
      </c>
      <c r="O27" s="26" t="e">
        <f>N27-N26</f>
        <v>#N/A</v>
      </c>
      <c r="P27" s="16"/>
      <c r="Q27" s="49"/>
      <c r="R27" s="50"/>
      <c r="S27" s="40"/>
      <c r="T27" s="40"/>
      <c r="U27" s="40"/>
      <c r="V27" s="40"/>
      <c r="W27" s="41"/>
      <c r="X27" s="16"/>
      <c r="Y27" s="2"/>
      <c r="Z27" s="30"/>
      <c r="AA27" s="23" t="s">
        <v>20</v>
      </c>
      <c r="AB27" s="3" t="e">
        <f>VLOOKUP($T15,$T21:$W35,3,FALSE)</f>
        <v>#N/A</v>
      </c>
      <c r="AC27" s="17" t="e">
        <f>VLOOKUP($T15,$T21:$W35,4,FALSE)</f>
        <v>#N/A</v>
      </c>
      <c r="AD27" s="26" t="e">
        <f>AC27-AC26</f>
        <v>#N/A</v>
      </c>
      <c r="AE27" s="16"/>
      <c r="AQ27" t="s">
        <v>28</v>
      </c>
      <c r="AR27">
        <v>20000</v>
      </c>
    </row>
    <row r="28" spans="1:45" ht="14.25" thickTop="1" thickBot="1">
      <c r="A28" s="47"/>
      <c r="B28" s="10"/>
      <c r="C28" s="40"/>
      <c r="D28" s="40"/>
      <c r="E28" s="40"/>
      <c r="F28" s="40"/>
      <c r="G28" s="41"/>
      <c r="H28" s="2"/>
      <c r="I28" s="51"/>
      <c r="J28" s="51"/>
      <c r="K28" s="71">
        <f>D16</f>
        <v>0</v>
      </c>
      <c r="L28" s="70">
        <f>E16</f>
        <v>0</v>
      </c>
      <c r="M28" s="3">
        <f>F16</f>
        <v>0</v>
      </c>
      <c r="N28" s="17">
        <f>G16</f>
        <v>0</v>
      </c>
      <c r="O28" s="20" t="e">
        <f>M29-M28</f>
        <v>#N/A</v>
      </c>
      <c r="P28" s="16"/>
      <c r="Q28" s="49"/>
      <c r="R28" s="50"/>
      <c r="S28" s="40"/>
      <c r="T28" s="40"/>
      <c r="U28" s="40"/>
      <c r="V28" s="40"/>
      <c r="W28" s="41"/>
      <c r="X28" s="16"/>
      <c r="Y28" s="6"/>
      <c r="Z28" s="29">
        <f>T16</f>
        <v>0</v>
      </c>
      <c r="AA28" s="70">
        <f>U16</f>
        <v>0</v>
      </c>
      <c r="AB28" s="17">
        <f>V16</f>
        <v>0</v>
      </c>
      <c r="AC28" s="17">
        <f>W16</f>
        <v>0</v>
      </c>
      <c r="AD28" s="20" t="e">
        <f>AB29-AB28</f>
        <v>#N/A</v>
      </c>
      <c r="AE28" s="16"/>
      <c r="AQ28" t="s">
        <v>29</v>
      </c>
      <c r="AR28">
        <v>400000</v>
      </c>
    </row>
    <row r="29" spans="1:45" ht="14.25" thickTop="1" thickBot="1">
      <c r="A29" s="47"/>
      <c r="B29" s="10"/>
      <c r="C29" s="40"/>
      <c r="D29" s="40"/>
      <c r="E29" s="40"/>
      <c r="F29" s="40"/>
      <c r="G29" s="41"/>
      <c r="H29" s="2"/>
      <c r="I29" s="51"/>
      <c r="J29" s="51"/>
      <c r="K29" s="30"/>
      <c r="L29" s="23" t="s">
        <v>20</v>
      </c>
      <c r="M29" s="3" t="e">
        <f>VLOOKUP($D16,$D21:$G35,3,FALSE)</f>
        <v>#N/A</v>
      </c>
      <c r="N29" s="17" t="e">
        <f>VLOOKUP($D16,$D21:$G35,4,FALSE)</f>
        <v>#N/A</v>
      </c>
      <c r="O29" s="26" t="e">
        <f>N29-N28</f>
        <v>#N/A</v>
      </c>
      <c r="P29" s="16"/>
      <c r="Q29" s="49"/>
      <c r="R29" s="50"/>
      <c r="S29" s="40"/>
      <c r="T29" s="40"/>
      <c r="U29" s="40"/>
      <c r="V29" s="40"/>
      <c r="W29" s="41"/>
      <c r="X29" s="16"/>
      <c r="Y29" s="2"/>
      <c r="Z29" s="30"/>
      <c r="AA29" s="23" t="s">
        <v>20</v>
      </c>
      <c r="AB29" s="3" t="e">
        <f>VLOOKUP($T16,$T21:$W35,3,FALSE)</f>
        <v>#N/A</v>
      </c>
      <c r="AC29" s="17" t="e">
        <f>VLOOKUP($T16,$T21:$W35,4,FALSE)</f>
        <v>#N/A</v>
      </c>
      <c r="AD29" s="26" t="e">
        <f>AC29-AC28</f>
        <v>#N/A</v>
      </c>
      <c r="AE29" s="16"/>
    </row>
    <row r="30" spans="1:45" ht="14.25" thickTop="1" thickBot="1">
      <c r="A30" s="47"/>
      <c r="B30" s="10"/>
      <c r="C30" s="40"/>
      <c r="D30" s="40"/>
      <c r="E30" s="40"/>
      <c r="F30" s="40"/>
      <c r="G30" s="41"/>
      <c r="H30" s="2"/>
      <c r="I30" s="51"/>
      <c r="J30" s="51"/>
      <c r="K30" s="19">
        <f>D17</f>
        <v>0</v>
      </c>
      <c r="L30" s="70">
        <f>E17</f>
        <v>0</v>
      </c>
      <c r="M30" s="3">
        <f>F17</f>
        <v>0</v>
      </c>
      <c r="N30" s="17">
        <f>G17</f>
        <v>0</v>
      </c>
      <c r="O30" s="20" t="e">
        <f>M31-M30</f>
        <v>#N/A</v>
      </c>
      <c r="P30" s="16"/>
      <c r="Q30" s="49"/>
      <c r="R30" s="50"/>
      <c r="S30" s="40"/>
      <c r="T30" s="40"/>
      <c r="U30" s="40"/>
      <c r="V30" s="40"/>
      <c r="W30" s="41"/>
      <c r="X30" s="16"/>
      <c r="Y30" s="6"/>
      <c r="Z30" s="19">
        <f>T17</f>
        <v>0</v>
      </c>
      <c r="AA30" s="70">
        <f>U17</f>
        <v>0</v>
      </c>
      <c r="AB30" s="17">
        <f>V17</f>
        <v>0</v>
      </c>
      <c r="AC30" s="17">
        <f>W17</f>
        <v>0</v>
      </c>
      <c r="AD30" s="20" t="e">
        <f>AB31-AB30</f>
        <v>#N/A</v>
      </c>
      <c r="AE30" s="16"/>
    </row>
    <row r="31" spans="1:45" ht="14.25" thickTop="1" thickBot="1">
      <c r="A31" s="47"/>
      <c r="B31" s="10"/>
      <c r="C31" s="40"/>
      <c r="D31" s="40"/>
      <c r="E31" s="40"/>
      <c r="F31" s="40"/>
      <c r="G31" s="41"/>
      <c r="H31" s="2"/>
      <c r="I31" s="51"/>
      <c r="J31" s="51"/>
      <c r="K31" s="30"/>
      <c r="L31" s="23" t="s">
        <v>20</v>
      </c>
      <c r="M31" s="3" t="e">
        <f>VLOOKUP($D17,$D21:$G35,3,FALSE)</f>
        <v>#N/A</v>
      </c>
      <c r="N31" s="17" t="e">
        <f>VLOOKUP($D17,$D21:$G35,4,FALSE)</f>
        <v>#N/A</v>
      </c>
      <c r="O31" s="26" t="e">
        <f>N31-N30</f>
        <v>#N/A</v>
      </c>
      <c r="P31" s="16"/>
      <c r="Q31" s="49"/>
      <c r="R31" s="50"/>
      <c r="S31" s="40"/>
      <c r="T31" s="40"/>
      <c r="U31" s="40"/>
      <c r="V31" s="40"/>
      <c r="W31" s="41"/>
      <c r="X31" s="16"/>
      <c r="Y31" s="2"/>
      <c r="Z31" s="30"/>
      <c r="AA31" s="23" t="s">
        <v>20</v>
      </c>
      <c r="AB31" s="3" t="e">
        <f>VLOOKUP($T17,$T21:$W35,3,FALSE)</f>
        <v>#N/A</v>
      </c>
      <c r="AC31" s="17" t="e">
        <f>VLOOKUP($T17,$T21:$W35,4,FALSE)</f>
        <v>#N/A</v>
      </c>
      <c r="AD31" s="26" t="e">
        <f>AC31-AC30</f>
        <v>#N/A</v>
      </c>
      <c r="AE31" s="16"/>
      <c r="AQ31" t="s">
        <v>17</v>
      </c>
    </row>
    <row r="32" spans="1:45" ht="14.25" thickTop="1" thickBot="1">
      <c r="A32" s="47"/>
      <c r="B32" s="10"/>
      <c r="C32" s="40"/>
      <c r="D32" s="40"/>
      <c r="E32" s="40"/>
      <c r="F32" s="40"/>
      <c r="G32" s="41"/>
      <c r="H32" s="2"/>
      <c r="I32" s="51"/>
      <c r="J32" s="51"/>
      <c r="K32" s="19">
        <f>D18</f>
        <v>0</v>
      </c>
      <c r="L32" s="70">
        <f>E18</f>
        <v>0</v>
      </c>
      <c r="M32" s="3">
        <f>F18</f>
        <v>0</v>
      </c>
      <c r="N32" s="17">
        <f>G18</f>
        <v>0</v>
      </c>
      <c r="O32" s="20" t="e">
        <f>M33-M32</f>
        <v>#N/A</v>
      </c>
      <c r="P32" s="16"/>
      <c r="Q32" s="49"/>
      <c r="R32" s="50"/>
      <c r="S32" s="40"/>
      <c r="T32" s="40"/>
      <c r="U32" s="40"/>
      <c r="V32" s="40"/>
      <c r="W32" s="41"/>
      <c r="X32" s="16"/>
      <c r="Y32" s="6"/>
      <c r="Z32" s="19">
        <f>T18</f>
        <v>0</v>
      </c>
      <c r="AA32" s="70">
        <f>U18</f>
        <v>0</v>
      </c>
      <c r="AB32" s="17">
        <f>V18</f>
        <v>0</v>
      </c>
      <c r="AC32" s="17">
        <f>W18</f>
        <v>0</v>
      </c>
      <c r="AD32" s="20" t="e">
        <f>AB33-AB32</f>
        <v>#N/A</v>
      </c>
      <c r="AE32" s="16"/>
    </row>
    <row r="33" spans="1:33" ht="14.25" thickTop="1" thickBot="1">
      <c r="A33" s="47"/>
      <c r="B33" s="10"/>
      <c r="H33" s="2"/>
      <c r="I33" s="51"/>
      <c r="J33" s="51"/>
      <c r="K33" s="30"/>
      <c r="L33" s="24" t="s">
        <v>20</v>
      </c>
      <c r="M33" s="3" t="e">
        <f>VLOOKUP($D18,$D21:$G35,3,FALSE)</f>
        <v>#N/A</v>
      </c>
      <c r="N33" s="17" t="e">
        <f>VLOOKUP($D18,$D21:$G35,4,FALSE)</f>
        <v>#N/A</v>
      </c>
      <c r="O33" s="25" t="e">
        <f>N33-N32</f>
        <v>#N/A</v>
      </c>
      <c r="P33" s="38"/>
      <c r="Q33" s="49"/>
      <c r="R33" s="50"/>
      <c r="W33" s="1"/>
      <c r="X33" s="38"/>
      <c r="Y33" s="2"/>
      <c r="Z33" s="30"/>
      <c r="AA33" s="24" t="s">
        <v>20</v>
      </c>
      <c r="AB33" s="3" t="e">
        <f>VLOOKUP($T18,$T21:$W35,3,FALSE)</f>
        <v>#N/A</v>
      </c>
      <c r="AC33" s="17" t="e">
        <f>VLOOKUP($T18,$T21:$W35,4,FALSE)</f>
        <v>#N/A</v>
      </c>
      <c r="AD33" s="25" t="e">
        <f>AC33-AC32</f>
        <v>#N/A</v>
      </c>
      <c r="AE33" s="38"/>
    </row>
    <row r="34" spans="1:33" ht="13.5" thickTop="1">
      <c r="A34" s="47"/>
      <c r="B34" s="10"/>
      <c r="H34" s="2"/>
      <c r="I34" s="48"/>
      <c r="J34" s="2"/>
      <c r="K34" s="31"/>
      <c r="L34" s="6"/>
      <c r="M34" s="11"/>
      <c r="N34" s="11"/>
      <c r="O34" s="6"/>
      <c r="P34" s="38"/>
      <c r="Q34" s="49"/>
      <c r="R34" s="50"/>
      <c r="W34" s="1"/>
      <c r="X34" s="38"/>
      <c r="Y34" s="2"/>
      <c r="Z34" s="31"/>
      <c r="AA34" s="6"/>
      <c r="AB34" s="11"/>
      <c r="AC34" s="11"/>
      <c r="AD34" s="6"/>
      <c r="AE34" s="38"/>
    </row>
    <row r="35" spans="1:33" ht="13.5" thickBot="1">
      <c r="A35" s="47"/>
      <c r="B35" s="10"/>
      <c r="H35" s="2"/>
      <c r="I35" s="48"/>
      <c r="J35" s="2"/>
      <c r="K35" s="27"/>
      <c r="L35" s="2"/>
      <c r="M35" s="2"/>
      <c r="N35" s="2"/>
      <c r="O35" s="2"/>
      <c r="P35" s="38"/>
      <c r="Q35" s="49"/>
      <c r="R35" s="50"/>
      <c r="W35" s="1"/>
      <c r="X35" s="38"/>
      <c r="Y35" s="2"/>
      <c r="Z35" s="27"/>
      <c r="AA35" s="2"/>
      <c r="AB35" s="2"/>
      <c r="AC35" s="2"/>
      <c r="AD35" s="2"/>
      <c r="AE35" s="38"/>
    </row>
    <row r="36" spans="1:33" ht="13.5" thickTop="1">
      <c r="A36" s="47"/>
      <c r="B36" s="2"/>
      <c r="C36" s="32"/>
      <c r="D36" s="32" t="s">
        <v>46</v>
      </c>
      <c r="E36" s="42"/>
      <c r="F36" s="32" t="s">
        <v>47</v>
      </c>
      <c r="G36" s="33"/>
      <c r="H36" s="2"/>
      <c r="I36" s="48"/>
      <c r="J36" s="2"/>
      <c r="K36" s="27"/>
      <c r="L36" s="2"/>
      <c r="M36" s="2"/>
      <c r="N36" s="2"/>
      <c r="O36" s="2"/>
      <c r="P36" s="38"/>
      <c r="Q36" s="49"/>
      <c r="R36" s="48"/>
      <c r="S36" s="32"/>
      <c r="T36" s="32" t="s">
        <v>46</v>
      </c>
      <c r="U36" s="42"/>
      <c r="V36" s="32" t="s">
        <v>47</v>
      </c>
      <c r="W36" s="33"/>
      <c r="X36" s="38"/>
      <c r="Y36" s="2"/>
      <c r="Z36" s="27"/>
      <c r="AA36" s="2"/>
      <c r="AB36" s="2"/>
      <c r="AC36" s="2"/>
      <c r="AD36" s="2"/>
      <c r="AE36" s="38"/>
    </row>
    <row r="37" spans="1:33">
      <c r="A37" s="47"/>
      <c r="B37" s="48"/>
      <c r="C37" s="61" t="s">
        <v>41</v>
      </c>
      <c r="D37" s="61"/>
      <c r="E37" s="60"/>
      <c r="F37" s="60"/>
      <c r="G37" s="62"/>
      <c r="H37" s="60"/>
      <c r="I37" s="60"/>
      <c r="J37" s="60"/>
      <c r="K37" s="63"/>
      <c r="L37" s="60"/>
      <c r="M37" s="60"/>
      <c r="N37" s="60"/>
      <c r="O37" s="60"/>
      <c r="P37" s="4"/>
      <c r="Q37" s="49"/>
      <c r="R37" s="48"/>
      <c r="S37" s="64" t="s">
        <v>41</v>
      </c>
      <c r="T37" s="64"/>
      <c r="U37" s="65"/>
      <c r="V37" s="65"/>
      <c r="W37" s="66"/>
      <c r="X37" s="65"/>
      <c r="Y37" s="65"/>
      <c r="Z37" s="67"/>
      <c r="AA37" s="65"/>
      <c r="AB37" s="65"/>
      <c r="AC37" s="65"/>
      <c r="AD37" s="65"/>
      <c r="AE37" s="4"/>
    </row>
    <row r="38" spans="1:33" ht="13.5" thickBot="1">
      <c r="A38" s="47"/>
      <c r="B38" s="48"/>
      <c r="C38" s="8" t="s">
        <v>36</v>
      </c>
      <c r="D38" s="8" t="s">
        <v>18</v>
      </c>
      <c r="E38" s="8" t="s">
        <v>14</v>
      </c>
      <c r="F38" s="8" t="s">
        <v>15</v>
      </c>
      <c r="G38" s="8" t="s">
        <v>16</v>
      </c>
      <c r="H38" s="2"/>
      <c r="I38" s="2"/>
      <c r="J38" s="2"/>
      <c r="K38" s="28" t="s">
        <v>17</v>
      </c>
      <c r="L38" s="9" t="s">
        <v>14</v>
      </c>
      <c r="M38" s="9" t="s">
        <v>15</v>
      </c>
      <c r="N38" s="9" t="s">
        <v>16</v>
      </c>
      <c r="O38" s="9" t="s">
        <v>19</v>
      </c>
      <c r="P38" s="4"/>
      <c r="Q38" s="49"/>
      <c r="R38" s="48"/>
      <c r="S38" s="8" t="s">
        <v>36</v>
      </c>
      <c r="T38" s="8" t="s">
        <v>18</v>
      </c>
      <c r="U38" s="8" t="s">
        <v>14</v>
      </c>
      <c r="V38" s="8" t="s">
        <v>15</v>
      </c>
      <c r="W38" s="8" t="s">
        <v>16</v>
      </c>
      <c r="X38" s="4"/>
      <c r="Y38" s="2"/>
      <c r="Z38" s="28" t="s">
        <v>17</v>
      </c>
      <c r="AA38" s="9" t="s">
        <v>14</v>
      </c>
      <c r="AB38" s="9" t="s">
        <v>15</v>
      </c>
      <c r="AC38" s="9" t="s">
        <v>16</v>
      </c>
      <c r="AD38" s="9" t="s">
        <v>19</v>
      </c>
      <c r="AE38" s="4"/>
    </row>
    <row r="39" spans="1:33" ht="14.25" thickTop="1" thickBot="1">
      <c r="A39" s="47"/>
      <c r="B39" s="50"/>
      <c r="C39" s="40"/>
      <c r="D39" s="40"/>
      <c r="E39" s="40"/>
      <c r="F39" s="41"/>
      <c r="G39" s="41"/>
      <c r="H39" s="18">
        <v>922689</v>
      </c>
      <c r="I39" s="51"/>
      <c r="J39" s="51"/>
      <c r="K39" s="29">
        <f>D39</f>
        <v>0</v>
      </c>
      <c r="L39" s="70">
        <f>E39</f>
        <v>0</v>
      </c>
      <c r="M39" s="17">
        <f>F39</f>
        <v>0</v>
      </c>
      <c r="N39" s="17">
        <f>G39</f>
        <v>0</v>
      </c>
      <c r="O39" s="20" t="e">
        <f>M40-M39</f>
        <v>#N/A</v>
      </c>
      <c r="P39" s="16"/>
      <c r="Q39" s="49"/>
      <c r="R39" s="50"/>
      <c r="S39" s="40"/>
      <c r="T39" s="40"/>
      <c r="U39" s="40"/>
      <c r="V39" s="41"/>
      <c r="W39" s="41"/>
      <c r="X39" s="16"/>
      <c r="Y39" s="6"/>
      <c r="Z39" s="29">
        <f>T39</f>
        <v>0</v>
      </c>
      <c r="AA39" s="70">
        <f>U39</f>
        <v>0</v>
      </c>
      <c r="AB39" s="17">
        <f>V39</f>
        <v>0</v>
      </c>
      <c r="AC39" s="17">
        <f>W39</f>
        <v>0</v>
      </c>
      <c r="AD39" s="20" t="e">
        <f>AB40-AB39</f>
        <v>#N/A</v>
      </c>
      <c r="AE39" s="16"/>
    </row>
    <row r="40" spans="1:33" ht="14.25" thickTop="1" thickBot="1">
      <c r="A40" s="47"/>
      <c r="B40" s="50"/>
      <c r="C40" s="40"/>
      <c r="D40" s="40"/>
      <c r="E40" s="40"/>
      <c r="F40" s="41"/>
      <c r="G40" s="41"/>
      <c r="H40" s="18">
        <v>896047</v>
      </c>
      <c r="I40" s="51"/>
      <c r="J40" s="51"/>
      <c r="K40" s="30"/>
      <c r="L40" s="23" t="s">
        <v>20</v>
      </c>
      <c r="M40" s="3" t="e">
        <f>VLOOKUP($D39,$D56:$G70,3,FALSE)</f>
        <v>#N/A</v>
      </c>
      <c r="N40" s="17" t="e">
        <f>VLOOKUP($D$4,$D56:$G70,4,FALSE)</f>
        <v>#N/A</v>
      </c>
      <c r="O40" s="26" t="e">
        <f>N40-N39</f>
        <v>#N/A</v>
      </c>
      <c r="P40" s="16"/>
      <c r="Q40" s="49"/>
      <c r="R40" s="50"/>
      <c r="S40" s="40"/>
      <c r="T40" s="40"/>
      <c r="U40" s="40"/>
      <c r="V40" s="41"/>
      <c r="W40" s="41"/>
      <c r="X40" s="16"/>
      <c r="Y40" s="2"/>
      <c r="Z40" s="30"/>
      <c r="AA40" s="23" t="s">
        <v>20</v>
      </c>
      <c r="AB40" s="3" t="e">
        <f>VLOOKUP($T39,$T56:$W70,3,FALSE)</f>
        <v>#N/A</v>
      </c>
      <c r="AC40" s="17" t="e">
        <f>VLOOKUP($T39,$T56:$W70,4,FALSE)</f>
        <v>#N/A</v>
      </c>
      <c r="AD40" s="26" t="e">
        <f>AC40-AC39</f>
        <v>#N/A</v>
      </c>
      <c r="AE40" s="16"/>
    </row>
    <row r="41" spans="1:33" ht="14.25" thickTop="1" thickBot="1">
      <c r="A41" s="47"/>
      <c r="B41" s="50"/>
      <c r="C41" s="40"/>
      <c r="D41" s="40"/>
      <c r="E41" s="40"/>
      <c r="F41" s="41"/>
      <c r="G41" s="41"/>
      <c r="H41" s="18">
        <v>588467</v>
      </c>
      <c r="I41" s="51"/>
      <c r="J41" s="51"/>
      <c r="K41" s="19">
        <f>D40</f>
        <v>0</v>
      </c>
      <c r="L41" s="70">
        <f>E40</f>
        <v>0</v>
      </c>
      <c r="M41" s="3">
        <f>F40</f>
        <v>0</v>
      </c>
      <c r="N41" s="17">
        <f>G40</f>
        <v>0</v>
      </c>
      <c r="O41" s="20" t="e">
        <f>M42-M41</f>
        <v>#N/A</v>
      </c>
      <c r="P41" s="16"/>
      <c r="Q41" s="49"/>
      <c r="R41" s="50"/>
      <c r="S41" s="40"/>
      <c r="T41" s="40"/>
      <c r="U41" s="40"/>
      <c r="V41" s="41"/>
      <c r="W41" s="41"/>
      <c r="X41" s="16"/>
      <c r="Y41" s="6"/>
      <c r="Z41" s="19">
        <f>T40</f>
        <v>0</v>
      </c>
      <c r="AA41" s="70">
        <f>U40</f>
        <v>0</v>
      </c>
      <c r="AB41" s="3">
        <f>V40</f>
        <v>0</v>
      </c>
      <c r="AC41" s="17">
        <f>W40</f>
        <v>0</v>
      </c>
      <c r="AD41" s="20" t="e">
        <f>AB42-AB41</f>
        <v>#N/A</v>
      </c>
      <c r="AE41" s="16"/>
      <c r="AG41" s="35"/>
    </row>
    <row r="42" spans="1:33" ht="14.25" thickTop="1" thickBot="1">
      <c r="A42" s="47"/>
      <c r="B42" s="50"/>
      <c r="C42" s="40"/>
      <c r="D42" s="40"/>
      <c r="E42" s="40"/>
      <c r="F42" s="41"/>
      <c r="G42" s="41"/>
      <c r="H42" s="18">
        <v>600459</v>
      </c>
      <c r="I42" s="51"/>
      <c r="J42" s="51"/>
      <c r="K42" s="30"/>
      <c r="L42" s="23" t="s">
        <v>20</v>
      </c>
      <c r="M42" s="3" t="e">
        <f>VLOOKUP($D40,$D56:$G70,3,FALSE)</f>
        <v>#N/A</v>
      </c>
      <c r="N42" s="17" t="e">
        <f>VLOOKUP($D$5,$D56:$G70,4,FALSE)</f>
        <v>#N/A</v>
      </c>
      <c r="O42" s="26" t="e">
        <f>N42-N41</f>
        <v>#N/A</v>
      </c>
      <c r="P42" s="16"/>
      <c r="Q42" s="49"/>
      <c r="R42" s="50"/>
      <c r="S42" s="40"/>
      <c r="T42" s="40"/>
      <c r="U42" s="40"/>
      <c r="V42" s="41"/>
      <c r="W42" s="41"/>
      <c r="X42" s="16"/>
      <c r="Y42" s="2"/>
      <c r="Z42" s="30"/>
      <c r="AA42" s="23" t="s">
        <v>20</v>
      </c>
      <c r="AB42" s="3" t="e">
        <f>VLOOKUP($T40,$T56:$W70,3,FALSE)</f>
        <v>#N/A</v>
      </c>
      <c r="AC42" s="17" t="e">
        <f>VLOOKUP($T40,$T56:$W70,4,FALSE)</f>
        <v>#N/A</v>
      </c>
      <c r="AD42" s="26" t="e">
        <f>AC42-AC41</f>
        <v>#N/A</v>
      </c>
      <c r="AE42" s="16"/>
    </row>
    <row r="43" spans="1:33" ht="14.25" thickTop="1" thickBot="1">
      <c r="A43" s="47"/>
      <c r="B43" s="50"/>
      <c r="C43" s="40"/>
      <c r="D43" s="40"/>
      <c r="E43" s="40"/>
      <c r="F43" s="41"/>
      <c r="G43" s="41"/>
      <c r="H43" s="18">
        <v>432716</v>
      </c>
      <c r="I43" s="51"/>
      <c r="J43" s="51"/>
      <c r="K43" s="19">
        <f>D41</f>
        <v>0</v>
      </c>
      <c r="L43" s="70">
        <f>E41</f>
        <v>0</v>
      </c>
      <c r="M43" s="3">
        <f>F41</f>
        <v>0</v>
      </c>
      <c r="N43" s="17">
        <f>G41</f>
        <v>0</v>
      </c>
      <c r="O43" s="20" t="e">
        <f>M44-M43</f>
        <v>#N/A</v>
      </c>
      <c r="P43" s="16"/>
      <c r="Q43" s="49"/>
      <c r="R43" s="50"/>
      <c r="S43" s="40"/>
      <c r="T43" s="40"/>
      <c r="U43" s="40"/>
      <c r="V43" s="41"/>
      <c r="W43" s="41"/>
      <c r="X43" s="16"/>
      <c r="Y43" s="6"/>
      <c r="Z43" s="19">
        <f>T41</f>
        <v>0</v>
      </c>
      <c r="AA43" s="70">
        <f>U41</f>
        <v>0</v>
      </c>
      <c r="AB43" s="3">
        <f>V41</f>
        <v>0</v>
      </c>
      <c r="AC43" s="17">
        <f>W41</f>
        <v>0</v>
      </c>
      <c r="AD43" s="20" t="e">
        <f>AB44-AB43</f>
        <v>#N/A</v>
      </c>
      <c r="AE43" s="16"/>
    </row>
    <row r="44" spans="1:33" ht="14.25" thickTop="1" thickBot="1">
      <c r="A44" s="47"/>
      <c r="B44" s="50"/>
      <c r="C44" s="40"/>
      <c r="D44" s="40"/>
      <c r="E44" s="40"/>
      <c r="F44" s="40"/>
      <c r="G44" s="41"/>
      <c r="H44" s="18">
        <v>149538</v>
      </c>
      <c r="I44" s="51"/>
      <c r="J44" s="51"/>
      <c r="K44" s="30"/>
      <c r="L44" s="23" t="s">
        <v>20</v>
      </c>
      <c r="M44" s="3" t="e">
        <f>VLOOKUP($D41,$D56:$G70,3,FALSE)</f>
        <v>#N/A</v>
      </c>
      <c r="N44" s="17" t="e">
        <f>VLOOKUP($D41,$D56:$G70,4,FALSE)</f>
        <v>#N/A</v>
      </c>
      <c r="O44" s="26" t="e">
        <f>N44-N43</f>
        <v>#N/A</v>
      </c>
      <c r="P44" s="16"/>
      <c r="Q44" s="49"/>
      <c r="R44" s="50"/>
      <c r="S44" s="40"/>
      <c r="T44" s="40"/>
      <c r="U44" s="40"/>
      <c r="V44" s="41"/>
      <c r="W44" s="41"/>
      <c r="X44" s="16"/>
      <c r="Y44" s="2"/>
      <c r="Z44" s="30"/>
      <c r="AA44" s="23" t="s">
        <v>20</v>
      </c>
      <c r="AB44" s="3" t="e">
        <f>VLOOKUP($T41,$T56:$W70,3,FALSE)</f>
        <v>#N/A</v>
      </c>
      <c r="AC44" s="17" t="e">
        <f>VLOOKUP($T41,$T56:$W70,4,FALSE)</f>
        <v>#N/A</v>
      </c>
      <c r="AD44" s="26" t="e">
        <f>AC44-AC43</f>
        <v>#N/A</v>
      </c>
      <c r="AE44" s="16"/>
    </row>
    <row r="45" spans="1:33" ht="14.25" thickTop="1" thickBot="1">
      <c r="A45" s="47"/>
      <c r="B45" s="50"/>
      <c r="C45" s="40"/>
      <c r="D45" s="40"/>
      <c r="E45" s="40"/>
      <c r="F45" s="40"/>
      <c r="G45" s="41"/>
      <c r="H45" s="18">
        <v>101933</v>
      </c>
      <c r="I45" s="51"/>
      <c r="J45" s="51"/>
      <c r="K45" s="19">
        <f>D42</f>
        <v>0</v>
      </c>
      <c r="L45" s="70">
        <f>E42</f>
        <v>0</v>
      </c>
      <c r="M45" s="3">
        <f>F42</f>
        <v>0</v>
      </c>
      <c r="N45" s="17">
        <f>G42</f>
        <v>0</v>
      </c>
      <c r="O45" s="20" t="e">
        <f>M46-M45</f>
        <v>#N/A</v>
      </c>
      <c r="P45" s="16"/>
      <c r="Q45" s="49"/>
      <c r="R45" s="50"/>
      <c r="S45" s="40"/>
      <c r="T45" s="40"/>
      <c r="U45" s="40"/>
      <c r="V45" s="40"/>
      <c r="W45" s="41"/>
      <c r="X45" s="16"/>
      <c r="Y45" s="6"/>
      <c r="Z45" s="19">
        <f>T42</f>
        <v>0</v>
      </c>
      <c r="AA45" s="70">
        <f>U42</f>
        <v>0</v>
      </c>
      <c r="AB45" s="3">
        <f>V42</f>
        <v>0</v>
      </c>
      <c r="AC45" s="17">
        <f>W42</f>
        <v>0</v>
      </c>
      <c r="AD45" s="20" t="e">
        <f>AB46-AB45</f>
        <v>#N/A</v>
      </c>
      <c r="AE45" s="16"/>
    </row>
    <row r="46" spans="1:33" ht="14.25" thickTop="1" thickBot="1">
      <c r="A46" s="47"/>
      <c r="B46" s="50"/>
      <c r="C46" s="40"/>
      <c r="D46" s="40"/>
      <c r="E46" s="40"/>
      <c r="F46" s="40"/>
      <c r="G46" s="41"/>
      <c r="H46" s="18">
        <v>6850</v>
      </c>
      <c r="I46" s="51"/>
      <c r="J46" s="51"/>
      <c r="K46" s="30"/>
      <c r="L46" s="23" t="s">
        <v>20</v>
      </c>
      <c r="M46" s="3" t="e">
        <f>VLOOKUP($D42,$D56:$G70,3,FALSE)</f>
        <v>#N/A</v>
      </c>
      <c r="N46" s="17" t="e">
        <f>VLOOKUP($D42,$D56:$G$70,4,FALSE)</f>
        <v>#N/A</v>
      </c>
      <c r="O46" s="26" t="e">
        <f>N46-N45</f>
        <v>#N/A</v>
      </c>
      <c r="P46" s="16"/>
      <c r="Q46" s="49"/>
      <c r="R46" s="50"/>
      <c r="S46" s="40"/>
      <c r="T46" s="40"/>
      <c r="U46" s="40"/>
      <c r="V46" s="40"/>
      <c r="W46" s="41"/>
      <c r="X46" s="16"/>
      <c r="Y46" s="2"/>
      <c r="Z46" s="30"/>
      <c r="AA46" s="23" t="s">
        <v>20</v>
      </c>
      <c r="AB46" s="3" t="e">
        <f>VLOOKUP($T42,$T56:$W70,3,FALSE)</f>
        <v>#N/A</v>
      </c>
      <c r="AC46" s="17" t="e">
        <f>VLOOKUP($T42,$T56:$W70,4,FALSE)</f>
        <v>#N/A</v>
      </c>
      <c r="AD46" s="26" t="e">
        <f>AC46-AC45</f>
        <v>#N/A</v>
      </c>
      <c r="AE46" s="16"/>
    </row>
    <row r="47" spans="1:33" ht="14.25" thickTop="1" thickBot="1">
      <c r="A47" s="47"/>
      <c r="B47" s="50"/>
      <c r="C47" s="40"/>
      <c r="D47" s="40"/>
      <c r="E47" s="40"/>
      <c r="F47" s="40"/>
      <c r="G47" s="41"/>
      <c r="H47" s="18">
        <v>6165</v>
      </c>
      <c r="I47" s="51"/>
      <c r="J47" s="51"/>
      <c r="K47" s="29">
        <f>D43</f>
        <v>0</v>
      </c>
      <c r="L47" s="70">
        <f>E43</f>
        <v>0</v>
      </c>
      <c r="M47" s="3">
        <f>F43</f>
        <v>0</v>
      </c>
      <c r="N47" s="17">
        <f>G43</f>
        <v>0</v>
      </c>
      <c r="O47" s="20" t="e">
        <f>M48-M47</f>
        <v>#N/A</v>
      </c>
      <c r="P47" s="16"/>
      <c r="Q47" s="49"/>
      <c r="R47" s="50"/>
      <c r="S47" s="40"/>
      <c r="T47" s="40"/>
      <c r="U47" s="40"/>
      <c r="V47" s="40"/>
      <c r="W47" s="41"/>
      <c r="X47" s="16"/>
      <c r="Y47" s="6"/>
      <c r="Z47" s="29">
        <f>T43</f>
        <v>0</v>
      </c>
      <c r="AA47" s="70">
        <f>U43</f>
        <v>0</v>
      </c>
      <c r="AB47" s="3">
        <f>V43</f>
        <v>0</v>
      </c>
      <c r="AC47" s="17">
        <f>W43</f>
        <v>0</v>
      </c>
      <c r="AD47" s="20" t="e">
        <f>AB48-AB47</f>
        <v>#N/A</v>
      </c>
      <c r="AE47" s="16"/>
    </row>
    <row r="48" spans="1:33" ht="14.25" thickTop="1" thickBot="1">
      <c r="A48" s="47"/>
      <c r="B48" s="50"/>
      <c r="C48" s="40"/>
      <c r="D48" s="40"/>
      <c r="E48" s="40"/>
      <c r="F48" s="40"/>
      <c r="G48" s="41"/>
      <c r="H48" s="18">
        <v>6010</v>
      </c>
      <c r="I48" s="51"/>
      <c r="J48" s="51"/>
      <c r="K48" s="30"/>
      <c r="L48" s="23" t="s">
        <v>20</v>
      </c>
      <c r="M48" s="3" t="e">
        <f>VLOOKUP($D43,$D56:$G70,3,FALSE)</f>
        <v>#N/A</v>
      </c>
      <c r="N48" s="17" t="e">
        <f>VLOOKUP($D43,$D56:$G70,4,FALSE)</f>
        <v>#N/A</v>
      </c>
      <c r="O48" s="26" t="e">
        <f>N48-N47</f>
        <v>#N/A</v>
      </c>
      <c r="P48" s="16"/>
      <c r="Q48" s="49"/>
      <c r="R48" s="50"/>
      <c r="S48" s="40"/>
      <c r="T48" s="40"/>
      <c r="U48" s="40"/>
      <c r="V48" s="40"/>
      <c r="W48" s="41"/>
      <c r="X48" s="16"/>
      <c r="Y48" s="2"/>
      <c r="Z48" s="30"/>
      <c r="AA48" s="23" t="s">
        <v>20</v>
      </c>
      <c r="AB48" s="3" t="e">
        <f>VLOOKUP($T43,$T56:$W70,3,FALSE)</f>
        <v>#N/A</v>
      </c>
      <c r="AC48" s="17" t="e">
        <f>VLOOKUP($T43,$T56:$W70,4,FALSE)</f>
        <v>#N/A</v>
      </c>
      <c r="AD48" s="26" t="e">
        <f>AC48-AC47</f>
        <v>#N/A</v>
      </c>
      <c r="AE48" s="16"/>
    </row>
    <row r="49" spans="1:40" ht="14.25" thickTop="1" thickBot="1">
      <c r="A49" s="47"/>
      <c r="B49" s="50"/>
      <c r="C49" s="40"/>
      <c r="D49" s="40"/>
      <c r="E49" s="40"/>
      <c r="F49" s="40"/>
      <c r="G49" s="41"/>
      <c r="H49" s="2"/>
      <c r="I49" s="51"/>
      <c r="J49" s="51"/>
      <c r="K49" s="19">
        <f>D44</f>
        <v>0</v>
      </c>
      <c r="L49" s="70">
        <f>E44</f>
        <v>0</v>
      </c>
      <c r="M49" s="3">
        <f>F44</f>
        <v>0</v>
      </c>
      <c r="N49" s="17">
        <f>G44</f>
        <v>0</v>
      </c>
      <c r="O49" s="20" t="e">
        <f>M50-M49</f>
        <v>#N/A</v>
      </c>
      <c r="P49" s="16"/>
      <c r="Q49" s="49"/>
      <c r="R49" s="50"/>
      <c r="S49" s="40"/>
      <c r="T49" s="40"/>
      <c r="U49" s="40"/>
      <c r="V49" s="40"/>
      <c r="W49" s="41"/>
      <c r="X49" s="16"/>
      <c r="Y49" s="6"/>
      <c r="Z49" s="19">
        <f>T44</f>
        <v>0</v>
      </c>
      <c r="AA49" s="70">
        <f>U44</f>
        <v>0</v>
      </c>
      <c r="AB49" s="3">
        <f>V44</f>
        <v>0</v>
      </c>
      <c r="AC49" s="17">
        <f>W44</f>
        <v>0</v>
      </c>
      <c r="AD49" s="20" t="e">
        <f>AB50-AB49</f>
        <v>#N/A</v>
      </c>
      <c r="AE49" s="16"/>
    </row>
    <row r="50" spans="1:40" ht="14.25" thickTop="1" thickBot="1">
      <c r="A50" s="47"/>
      <c r="B50" s="50"/>
      <c r="C50" s="40"/>
      <c r="D50" s="40"/>
      <c r="E50" s="40"/>
      <c r="F50" s="40"/>
      <c r="G50" s="41"/>
      <c r="H50" s="2"/>
      <c r="I50" s="51"/>
      <c r="J50" s="51"/>
      <c r="K50" s="30"/>
      <c r="L50" s="23" t="s">
        <v>20</v>
      </c>
      <c r="M50" s="3" t="e">
        <f>VLOOKUP($D44,$D56:$G70,3,FALSE)</f>
        <v>#N/A</v>
      </c>
      <c r="N50" s="17" t="e">
        <f>VLOOKUP($D44,$D56:$G70,4,FALSE)</f>
        <v>#N/A</v>
      </c>
      <c r="O50" s="26" t="e">
        <f>N50-N49</f>
        <v>#N/A</v>
      </c>
      <c r="P50" s="16"/>
      <c r="Q50" s="49"/>
      <c r="R50" s="50"/>
      <c r="S50" s="40"/>
      <c r="T50" s="40"/>
      <c r="U50" s="40"/>
      <c r="V50" s="40"/>
      <c r="W50" s="41"/>
      <c r="X50" s="16"/>
      <c r="Y50" s="2"/>
      <c r="Z50" s="30"/>
      <c r="AA50" s="23" t="s">
        <v>20</v>
      </c>
      <c r="AB50" s="3" t="e">
        <f>VLOOKUP($T44,$T56:$W70,3,FALSE)</f>
        <v>#N/A</v>
      </c>
      <c r="AC50" s="17" t="e">
        <f>VLOOKUP($T44,$T56:$W70,4,FALSE)</f>
        <v>#N/A</v>
      </c>
      <c r="AD50" s="26" t="e">
        <f>AC50-AC49</f>
        <v>#N/A</v>
      </c>
      <c r="AE50" s="16"/>
    </row>
    <row r="51" spans="1:40" ht="14.25" thickTop="1" thickBot="1">
      <c r="A51" s="47"/>
      <c r="B51" s="50"/>
      <c r="H51" s="2"/>
      <c r="I51" s="51"/>
      <c r="J51" s="51"/>
      <c r="K51" s="19">
        <f>D45</f>
        <v>0</v>
      </c>
      <c r="L51" s="70">
        <f>E45</f>
        <v>0</v>
      </c>
      <c r="M51" s="3">
        <f>F45</f>
        <v>0</v>
      </c>
      <c r="N51" s="17">
        <f>G45</f>
        <v>0</v>
      </c>
      <c r="O51" s="20" t="e">
        <f>M52-M51</f>
        <v>#N/A</v>
      </c>
      <c r="P51" s="16"/>
      <c r="Q51" s="49"/>
      <c r="R51" s="50"/>
      <c r="W51" s="1"/>
      <c r="X51" s="16"/>
      <c r="Y51" s="6"/>
      <c r="Z51" s="19">
        <f>T45</f>
        <v>0</v>
      </c>
      <c r="AA51" s="70">
        <f>U45</f>
        <v>0</v>
      </c>
      <c r="AB51" s="3">
        <f>V45</f>
        <v>0</v>
      </c>
      <c r="AC51" s="17">
        <f>W45</f>
        <v>0</v>
      </c>
      <c r="AD51" s="20" t="e">
        <f>AB52-AB51</f>
        <v>#N/A</v>
      </c>
      <c r="AE51" s="16"/>
    </row>
    <row r="52" spans="1:40" ht="14.25" thickTop="1" thickBot="1">
      <c r="A52" s="47"/>
      <c r="B52" s="50"/>
      <c r="H52" s="2"/>
      <c r="I52" s="51"/>
      <c r="J52" s="51"/>
      <c r="K52" s="30"/>
      <c r="L52" s="23" t="s">
        <v>20</v>
      </c>
      <c r="M52" s="3" t="e">
        <f>VLOOKUP($D45,$D56:$G70,3,FALSE)</f>
        <v>#N/A</v>
      </c>
      <c r="N52" s="17" t="e">
        <f>VLOOKUP($D45,$D56:$G70,4,FALSE)</f>
        <v>#N/A</v>
      </c>
      <c r="O52" s="26" t="e">
        <f>N52-N51</f>
        <v>#N/A</v>
      </c>
      <c r="P52" s="16"/>
      <c r="Q52" s="49"/>
      <c r="R52" s="50"/>
      <c r="W52" s="1"/>
      <c r="X52" s="16"/>
      <c r="Y52" s="2"/>
      <c r="Z52" s="30"/>
      <c r="AA52" s="23" t="s">
        <v>20</v>
      </c>
      <c r="AB52" s="3" t="e">
        <f>VLOOKUP($T45,$T56:$W70,3,FALSE)</f>
        <v>#N/A</v>
      </c>
      <c r="AC52" s="17" t="e">
        <f>VLOOKUP($T45,$T56:$W70,4,FALSE)</f>
        <v>#N/A</v>
      </c>
      <c r="AD52" s="26" t="e">
        <f>AC52-AC51</f>
        <v>#N/A</v>
      </c>
      <c r="AE52" s="16"/>
    </row>
    <row r="53" spans="1:40" ht="14.25" thickTop="1" thickBot="1">
      <c r="A53" s="47"/>
      <c r="B53" s="50"/>
      <c r="H53" s="2"/>
      <c r="I53" s="51"/>
      <c r="J53" s="51"/>
      <c r="K53" s="19">
        <f>D46</f>
        <v>0</v>
      </c>
      <c r="L53" s="70">
        <f>E46</f>
        <v>0</v>
      </c>
      <c r="M53" s="21">
        <f>F46</f>
        <v>0</v>
      </c>
      <c r="N53" s="22">
        <f>G46</f>
        <v>0</v>
      </c>
      <c r="O53" s="20" t="e">
        <f>M54-M53</f>
        <v>#N/A</v>
      </c>
      <c r="P53" s="16"/>
      <c r="Q53" s="49"/>
      <c r="R53" s="50"/>
      <c r="W53" s="1"/>
      <c r="X53" s="16"/>
      <c r="Y53" s="6"/>
      <c r="Z53" s="19">
        <f>T46</f>
        <v>0</v>
      </c>
      <c r="AA53" s="70">
        <f>U46</f>
        <v>0</v>
      </c>
      <c r="AB53" s="21">
        <f>V46</f>
        <v>0</v>
      </c>
      <c r="AC53" s="22">
        <f>W46</f>
        <v>0</v>
      </c>
      <c r="AD53" s="20" t="e">
        <f>AB54-AB53</f>
        <v>#N/A</v>
      </c>
      <c r="AE53" s="16"/>
    </row>
    <row r="54" spans="1:40" ht="14.25" thickTop="1" thickBot="1">
      <c r="A54" s="47"/>
      <c r="B54" s="48"/>
      <c r="C54" s="32"/>
      <c r="D54" s="32" t="s">
        <v>46</v>
      </c>
      <c r="E54" s="42"/>
      <c r="F54" s="32" t="s">
        <v>47</v>
      </c>
      <c r="G54" s="33"/>
      <c r="H54" s="2"/>
      <c r="I54" s="51"/>
      <c r="J54" s="51"/>
      <c r="K54" s="30"/>
      <c r="L54" s="23" t="s">
        <v>20</v>
      </c>
      <c r="M54" s="3" t="e">
        <f>VLOOKUP($D46,$D56:$G70,3,FALSE)</f>
        <v>#N/A</v>
      </c>
      <c r="N54" s="17" t="e">
        <f>VLOOKUP($D46,$D56:$G70,4,FALSE)</f>
        <v>#N/A</v>
      </c>
      <c r="O54" s="26" t="e">
        <f>N54-N53</f>
        <v>#N/A</v>
      </c>
      <c r="P54" s="16"/>
      <c r="Q54" s="49"/>
      <c r="R54" s="48"/>
      <c r="S54" s="32"/>
      <c r="T54" s="32" t="s">
        <v>46</v>
      </c>
      <c r="U54" s="42"/>
      <c r="V54" s="32" t="s">
        <v>47</v>
      </c>
      <c r="W54" s="33"/>
      <c r="X54" s="16"/>
      <c r="Y54" s="2"/>
      <c r="Z54" s="30"/>
      <c r="AA54" s="23" t="s">
        <v>20</v>
      </c>
      <c r="AB54" s="3" t="e">
        <f>VLOOKUP($T46,$T56:$W70,3,FALSE)</f>
        <v>#N/A</v>
      </c>
      <c r="AC54" s="17" t="e">
        <f>VLOOKUP($T46,$T56:$W70,4,FALSE)</f>
        <v>#N/A</v>
      </c>
      <c r="AD54" s="26" t="e">
        <f>AC54-AC53</f>
        <v>#N/A</v>
      </c>
      <c r="AE54" s="16"/>
    </row>
    <row r="55" spans="1:40" ht="14.25" thickTop="1" thickBot="1">
      <c r="A55" s="47"/>
      <c r="B55" s="51"/>
      <c r="C55" s="8" t="s">
        <v>36</v>
      </c>
      <c r="D55" s="8" t="s">
        <v>18</v>
      </c>
      <c r="E55" s="8" t="s">
        <v>14</v>
      </c>
      <c r="F55" s="8" t="s">
        <v>15</v>
      </c>
      <c r="G55" s="8" t="s">
        <v>16</v>
      </c>
      <c r="H55" s="2"/>
      <c r="I55" s="51"/>
      <c r="J55" s="51"/>
      <c r="K55" s="29">
        <f>D47</f>
        <v>0</v>
      </c>
      <c r="L55" s="70">
        <f>E47</f>
        <v>0</v>
      </c>
      <c r="M55" s="3">
        <f>F47</f>
        <v>0</v>
      </c>
      <c r="N55" s="17">
        <f>G47</f>
        <v>0</v>
      </c>
      <c r="O55" s="20" t="e">
        <f>M56-M55</f>
        <v>#N/A</v>
      </c>
      <c r="P55" s="16"/>
      <c r="Q55" s="49"/>
      <c r="R55" s="51"/>
      <c r="S55" s="8" t="s">
        <v>36</v>
      </c>
      <c r="T55" s="8" t="s">
        <v>18</v>
      </c>
      <c r="U55" s="8" t="s">
        <v>14</v>
      </c>
      <c r="V55" s="8" t="s">
        <v>15</v>
      </c>
      <c r="W55" s="8" t="s">
        <v>16</v>
      </c>
      <c r="X55" s="16"/>
      <c r="Y55" s="6"/>
      <c r="Z55" s="29">
        <f>T47</f>
        <v>0</v>
      </c>
      <c r="AA55" s="70">
        <f>U47</f>
        <v>0</v>
      </c>
      <c r="AB55" s="3">
        <f>V47</f>
        <v>0</v>
      </c>
      <c r="AC55" s="17">
        <f>W47</f>
        <v>0</v>
      </c>
      <c r="AD55" s="20" t="e">
        <f>AB56-AB55</f>
        <v>#N/A</v>
      </c>
      <c r="AE55" s="16"/>
      <c r="AN55" t="str">
        <f>CONCATENATE(AF6,AG6,AH6,AF8,AG8,AH8,AF10,AG10,AH10,AF12,AG12,AH12,AF14,AG14,AH14,AF16,AG16,AH16,AF18,AG18,AH18,AF20,AG20,AH20,AF22,AG22,AH22,AF24,AG24,AH24)</f>
        <v/>
      </c>
    </row>
    <row r="56" spans="1:40" ht="14.25" thickTop="1" thickBot="1">
      <c r="A56" s="47"/>
      <c r="B56" s="50"/>
      <c r="C56" s="40"/>
      <c r="D56" s="40"/>
      <c r="E56" s="40"/>
      <c r="F56" s="41"/>
      <c r="G56" s="41"/>
      <c r="H56" s="2"/>
      <c r="I56" s="51"/>
      <c r="J56" s="51"/>
      <c r="K56" s="30"/>
      <c r="L56" s="23" t="s">
        <v>20</v>
      </c>
      <c r="M56" s="3" t="e">
        <f>VLOOKUP($D47,$D56:$G70,3,FALSE)</f>
        <v>#N/A</v>
      </c>
      <c r="N56" s="17" t="e">
        <f>VLOOKUP($D47,$D56:$G70,4,FALSE)</f>
        <v>#N/A</v>
      </c>
      <c r="O56" s="26" t="e">
        <f>N56-N55</f>
        <v>#N/A</v>
      </c>
      <c r="P56" s="16"/>
      <c r="Q56" s="49"/>
      <c r="R56" s="50"/>
      <c r="S56" s="40"/>
      <c r="T56" s="40"/>
      <c r="U56" s="40"/>
      <c r="V56" s="41"/>
      <c r="W56" s="41"/>
      <c r="X56" s="16"/>
      <c r="Y56" s="2"/>
      <c r="Z56" s="30"/>
      <c r="AA56" s="23" t="s">
        <v>20</v>
      </c>
      <c r="AB56" s="3" t="e">
        <f>VLOOKUP($T47,$T56:$W70,3,FALSE)</f>
        <v>#N/A</v>
      </c>
      <c r="AC56" s="17" t="e">
        <f>VLOOKUP($T47,$T56:$W70,4,FALSE)</f>
        <v>#N/A</v>
      </c>
      <c r="AD56" s="26" t="e">
        <f>AC56-AC55</f>
        <v>#N/A</v>
      </c>
      <c r="AE56" s="16"/>
    </row>
    <row r="57" spans="1:40" ht="14.25" thickTop="1" thickBot="1">
      <c r="A57" s="47"/>
      <c r="B57" s="50"/>
      <c r="C57" s="40"/>
      <c r="D57" s="40"/>
      <c r="E57" s="40"/>
      <c r="F57" s="41"/>
      <c r="G57" s="41"/>
      <c r="H57" s="2"/>
      <c r="I57" s="51"/>
      <c r="J57" s="51"/>
      <c r="K57" s="19">
        <f>D48</f>
        <v>0</v>
      </c>
      <c r="L57" s="70">
        <f>E48</f>
        <v>0</v>
      </c>
      <c r="M57" s="3">
        <f>F48</f>
        <v>0</v>
      </c>
      <c r="N57" s="17">
        <f>G48</f>
        <v>0</v>
      </c>
      <c r="O57" s="20" t="e">
        <f>M58-M57</f>
        <v>#N/A</v>
      </c>
      <c r="P57" s="16"/>
      <c r="Q57" s="49"/>
      <c r="R57" s="50"/>
      <c r="S57" s="40"/>
      <c r="T57" s="40"/>
      <c r="U57" s="40"/>
      <c r="V57" s="41"/>
      <c r="W57" s="41"/>
      <c r="X57" s="16"/>
      <c r="Y57" s="6"/>
      <c r="Z57" s="19">
        <f>T48</f>
        <v>0</v>
      </c>
      <c r="AA57" s="70">
        <f>U48</f>
        <v>0</v>
      </c>
      <c r="AB57" s="3">
        <f>V48</f>
        <v>0</v>
      </c>
      <c r="AC57" s="17">
        <f>W48</f>
        <v>0</v>
      </c>
      <c r="AD57" s="20" t="e">
        <f>AB58-AB57</f>
        <v>#N/A</v>
      </c>
      <c r="AE57" s="16"/>
    </row>
    <row r="58" spans="1:40" ht="14.25" thickTop="1" thickBot="1">
      <c r="A58" s="47"/>
      <c r="B58" s="50"/>
      <c r="C58" s="40"/>
      <c r="D58" s="40"/>
      <c r="E58" s="40"/>
      <c r="F58" s="41"/>
      <c r="G58" s="41"/>
      <c r="H58" s="2"/>
      <c r="I58" s="51"/>
      <c r="J58" s="51"/>
      <c r="K58" s="30"/>
      <c r="L58" s="23" t="s">
        <v>20</v>
      </c>
      <c r="M58" s="3" t="e">
        <f>VLOOKUP($D48,$D56:$G70,3,FALSE)</f>
        <v>#N/A</v>
      </c>
      <c r="N58" s="17" t="e">
        <f>VLOOKUP($D48,$D56:$G70,4,FALSE)</f>
        <v>#N/A</v>
      </c>
      <c r="O58" s="26" t="e">
        <f>N58-N57</f>
        <v>#N/A</v>
      </c>
      <c r="P58" s="16"/>
      <c r="Q58" s="49"/>
      <c r="R58" s="50"/>
      <c r="S58" s="40"/>
      <c r="T58" s="40"/>
      <c r="U58" s="40"/>
      <c r="V58" s="41"/>
      <c r="W58" s="41"/>
      <c r="X58" s="16"/>
      <c r="Y58" s="2"/>
      <c r="Z58" s="30"/>
      <c r="AA58" s="23" t="s">
        <v>20</v>
      </c>
      <c r="AB58" s="3" t="e">
        <f>VLOOKUP($T48,$T56:$W70,3,FALSE)</f>
        <v>#N/A</v>
      </c>
      <c r="AC58" s="17" t="e">
        <f>VLOOKUP($T48,$T56:$W70,4,FALSE)</f>
        <v>#N/A</v>
      </c>
      <c r="AD58" s="26" t="e">
        <f>AC58-AC57</f>
        <v>#N/A</v>
      </c>
      <c r="AE58" s="16"/>
    </row>
    <row r="59" spans="1:40" ht="14.25" thickTop="1" thickBot="1">
      <c r="A59" s="47"/>
      <c r="B59" s="50"/>
      <c r="C59" s="40"/>
      <c r="D59" s="40"/>
      <c r="E59" s="40"/>
      <c r="F59" s="41"/>
      <c r="G59" s="41"/>
      <c r="H59" s="2"/>
      <c r="I59" s="51"/>
      <c r="J59" s="51"/>
      <c r="K59" s="19">
        <f>D49</f>
        <v>0</v>
      </c>
      <c r="L59" s="70">
        <f>E49</f>
        <v>0</v>
      </c>
      <c r="M59" s="3">
        <f>F49</f>
        <v>0</v>
      </c>
      <c r="N59" s="17">
        <f>G49</f>
        <v>0</v>
      </c>
      <c r="O59" s="20" t="e">
        <f>M60-M59</f>
        <v>#N/A</v>
      </c>
      <c r="P59" s="16"/>
      <c r="Q59" s="49"/>
      <c r="R59" s="50"/>
      <c r="S59" s="40"/>
      <c r="T59" s="40"/>
      <c r="U59" s="40"/>
      <c r="V59" s="41"/>
      <c r="W59" s="41"/>
      <c r="X59" s="16"/>
      <c r="Y59" s="6"/>
      <c r="Z59" s="19">
        <f>T49</f>
        <v>0</v>
      </c>
      <c r="AA59" s="70">
        <f>U49</f>
        <v>0</v>
      </c>
      <c r="AB59" s="3">
        <f>V49</f>
        <v>0</v>
      </c>
      <c r="AC59" s="17">
        <f>W49</f>
        <v>0</v>
      </c>
      <c r="AD59" s="20" t="e">
        <f>AB60-AB59</f>
        <v>#N/A</v>
      </c>
      <c r="AE59" s="16"/>
    </row>
    <row r="60" spans="1:40" ht="14.25" thickTop="1" thickBot="1">
      <c r="A60" s="47"/>
      <c r="B60" s="50"/>
      <c r="C60" s="40"/>
      <c r="D60" s="40"/>
      <c r="E60" s="40"/>
      <c r="F60" s="41"/>
      <c r="G60" s="41"/>
      <c r="H60" s="2"/>
      <c r="I60" s="51"/>
      <c r="J60" s="51"/>
      <c r="K60" s="30"/>
      <c r="L60" s="23" t="s">
        <v>20</v>
      </c>
      <c r="M60" s="3" t="e">
        <f>VLOOKUP($D49,$D56:$G70,3,FALSE)</f>
        <v>#N/A</v>
      </c>
      <c r="N60" s="17" t="e">
        <f>VLOOKUP($D49,$D56:$G70,4,FALSE)</f>
        <v>#N/A</v>
      </c>
      <c r="O60" s="26" t="e">
        <f>N60-N59</f>
        <v>#N/A</v>
      </c>
      <c r="P60" s="16"/>
      <c r="Q60" s="49"/>
      <c r="R60" s="50"/>
      <c r="S60" s="40"/>
      <c r="T60" s="40"/>
      <c r="U60" s="40"/>
      <c r="V60" s="41"/>
      <c r="W60" s="41"/>
      <c r="X60" s="16"/>
      <c r="Y60" s="2"/>
      <c r="Z60" s="30"/>
      <c r="AA60" s="23" t="s">
        <v>20</v>
      </c>
      <c r="AB60" s="3" t="e">
        <f>VLOOKUP($T49,$T56:$W70,3,FALSE)</f>
        <v>#N/A</v>
      </c>
      <c r="AC60" s="17" t="e">
        <f>VLOOKUP($T49,$T56:$W70,4,FALSE)</f>
        <v>#N/A</v>
      </c>
      <c r="AD60" s="26" t="e">
        <f>AC60-AC59</f>
        <v>#N/A</v>
      </c>
      <c r="AE60" s="16"/>
    </row>
    <row r="61" spans="1:40" ht="14.25" thickTop="1" thickBot="1">
      <c r="A61" s="47"/>
      <c r="B61" s="50"/>
      <c r="C61" s="40"/>
      <c r="D61" s="40"/>
      <c r="E61" s="40"/>
      <c r="F61" s="40"/>
      <c r="G61" s="41"/>
      <c r="H61" s="2"/>
      <c r="I61" s="51"/>
      <c r="J61" s="51"/>
      <c r="K61" s="19">
        <f>D50</f>
        <v>0</v>
      </c>
      <c r="L61" s="70">
        <f>E50</f>
        <v>0</v>
      </c>
      <c r="M61" s="3">
        <f>F50</f>
        <v>0</v>
      </c>
      <c r="N61" s="17">
        <f>G50</f>
        <v>0</v>
      </c>
      <c r="O61" s="20" t="e">
        <f>M62-M61</f>
        <v>#N/A</v>
      </c>
      <c r="P61" s="16"/>
      <c r="Q61" s="49"/>
      <c r="R61" s="50"/>
      <c r="S61" s="40"/>
      <c r="T61" s="40"/>
      <c r="U61" s="40"/>
      <c r="V61" s="41"/>
      <c r="W61" s="41"/>
      <c r="X61" s="16"/>
      <c r="Y61" s="6"/>
      <c r="Z61" s="19">
        <f>T50</f>
        <v>0</v>
      </c>
      <c r="AA61" s="70">
        <f>U50</f>
        <v>0</v>
      </c>
      <c r="AB61" s="3">
        <f>V50</f>
        <v>0</v>
      </c>
      <c r="AC61" s="17">
        <f>W50</f>
        <v>0</v>
      </c>
      <c r="AD61" s="20" t="e">
        <f>AB62-AB61</f>
        <v>#N/A</v>
      </c>
      <c r="AE61" s="16"/>
    </row>
    <row r="62" spans="1:40" ht="14.25" thickTop="1" thickBot="1">
      <c r="A62" s="47"/>
      <c r="B62" s="50"/>
      <c r="C62" s="40"/>
      <c r="D62" s="40"/>
      <c r="E62" s="40"/>
      <c r="F62" s="40"/>
      <c r="G62" s="41"/>
      <c r="H62" s="2"/>
      <c r="I62" s="51"/>
      <c r="J62" s="51"/>
      <c r="K62" s="30"/>
      <c r="L62" s="23" t="s">
        <v>20</v>
      </c>
      <c r="M62" s="3" t="e">
        <f>VLOOKUP($D50,$D56:$G70,3,FALSE)</f>
        <v>#N/A</v>
      </c>
      <c r="N62" s="17" t="e">
        <f>VLOOKUP($D50,$D56:$G70,4,FALSE)</f>
        <v>#N/A</v>
      </c>
      <c r="O62" s="26" t="e">
        <f>N62-N61</f>
        <v>#N/A</v>
      </c>
      <c r="P62" s="16"/>
      <c r="Q62" s="49"/>
      <c r="R62" s="50"/>
      <c r="S62" s="40"/>
      <c r="T62" s="40"/>
      <c r="U62" s="40"/>
      <c r="V62" s="40"/>
      <c r="W62" s="41"/>
      <c r="X62" s="16"/>
      <c r="Y62" s="2"/>
      <c r="Z62" s="30"/>
      <c r="AA62" s="23" t="s">
        <v>20</v>
      </c>
      <c r="AB62" s="3" t="e">
        <f>VLOOKUP($T50,$T56:$W70,3,FALSE)</f>
        <v>#N/A</v>
      </c>
      <c r="AC62" s="17" t="e">
        <f>VLOOKUP($T50,$T56:$W70,4,FALSE)</f>
        <v>#N/A</v>
      </c>
      <c r="AD62" s="26" t="e">
        <f>AC62-AC61</f>
        <v>#N/A</v>
      </c>
      <c r="AE62" s="16"/>
    </row>
    <row r="63" spans="1:40" ht="14.25" thickTop="1" thickBot="1">
      <c r="A63" s="47"/>
      <c r="B63" s="50"/>
      <c r="C63" s="40"/>
      <c r="D63" s="40"/>
      <c r="E63" s="40"/>
      <c r="F63" s="40"/>
      <c r="G63" s="41"/>
      <c r="H63" s="2"/>
      <c r="I63" s="51"/>
      <c r="J63" s="51"/>
      <c r="K63" s="29">
        <f>D51</f>
        <v>0</v>
      </c>
      <c r="L63" s="70">
        <f>E51</f>
        <v>0</v>
      </c>
      <c r="M63" s="3">
        <f>F51</f>
        <v>0</v>
      </c>
      <c r="N63" s="17">
        <f>G51</f>
        <v>0</v>
      </c>
      <c r="O63" s="20" t="e">
        <f>M64-M63</f>
        <v>#N/A</v>
      </c>
      <c r="P63" s="16"/>
      <c r="Q63" s="49"/>
      <c r="R63" s="50"/>
      <c r="S63" s="40"/>
      <c r="T63" s="40"/>
      <c r="U63" s="40"/>
      <c r="V63" s="40"/>
      <c r="W63" s="41"/>
      <c r="X63" s="16"/>
      <c r="Y63" s="6"/>
      <c r="Z63" s="29">
        <f>T51</f>
        <v>0</v>
      </c>
      <c r="AA63" s="70">
        <f>U51</f>
        <v>0</v>
      </c>
      <c r="AB63" s="3">
        <f>V51</f>
        <v>0</v>
      </c>
      <c r="AC63" s="17">
        <f>W51</f>
        <v>0</v>
      </c>
      <c r="AD63" s="20" t="e">
        <f>AB64-AB63</f>
        <v>#N/A</v>
      </c>
      <c r="AE63" s="16"/>
    </row>
    <row r="64" spans="1:40" ht="14.25" thickTop="1" thickBot="1">
      <c r="A64" s="47"/>
      <c r="B64" s="50"/>
      <c r="C64" s="40"/>
      <c r="D64" s="40"/>
      <c r="E64" s="40"/>
      <c r="F64" s="40"/>
      <c r="G64" s="41"/>
      <c r="H64" s="2"/>
      <c r="I64" s="51"/>
      <c r="J64" s="51"/>
      <c r="K64" s="30"/>
      <c r="L64" s="23" t="s">
        <v>20</v>
      </c>
      <c r="M64" s="3" t="e">
        <f>VLOOKUP($D51,$D56:$G70,3,FALSE)</f>
        <v>#N/A</v>
      </c>
      <c r="N64" s="17" t="e">
        <f>VLOOKUP($D51,$D56:$G70,4,FALSE)</f>
        <v>#N/A</v>
      </c>
      <c r="O64" s="26" t="e">
        <f>N64-N63</f>
        <v>#N/A</v>
      </c>
      <c r="P64" s="16"/>
      <c r="Q64" s="49"/>
      <c r="R64" s="50"/>
      <c r="S64" s="40"/>
      <c r="T64" s="40"/>
      <c r="U64" s="40"/>
      <c r="V64" s="40"/>
      <c r="W64" s="41"/>
      <c r="X64" s="16"/>
      <c r="Y64" s="2"/>
      <c r="Z64" s="30"/>
      <c r="AA64" s="23" t="s">
        <v>20</v>
      </c>
      <c r="AB64" s="3" t="e">
        <f>VLOOKUP($T51,$T56:$W70,3,FALSE)</f>
        <v>#N/A</v>
      </c>
      <c r="AC64" s="17" t="e">
        <f>VLOOKUP($T51,$T56:$W70,4,FALSE)</f>
        <v>#N/A</v>
      </c>
      <c r="AD64" s="26" t="e">
        <f>AC64-AC63</f>
        <v>#N/A</v>
      </c>
      <c r="AE64" s="16"/>
    </row>
    <row r="65" spans="1:33" ht="14.25" thickTop="1" thickBot="1">
      <c r="A65" s="47"/>
      <c r="B65" s="50"/>
      <c r="C65" s="40"/>
      <c r="D65" s="40"/>
      <c r="E65" s="40"/>
      <c r="F65" s="40"/>
      <c r="G65" s="41"/>
      <c r="H65" s="2"/>
      <c r="I65" s="51"/>
      <c r="J65" s="51"/>
      <c r="K65" s="19">
        <f>D52</f>
        <v>0</v>
      </c>
      <c r="L65" s="70">
        <f>E52</f>
        <v>0</v>
      </c>
      <c r="M65" s="3">
        <f>F52</f>
        <v>0</v>
      </c>
      <c r="N65" s="17">
        <f>G52</f>
        <v>0</v>
      </c>
      <c r="O65" s="20" t="e">
        <f>M66-M65</f>
        <v>#N/A</v>
      </c>
      <c r="P65" s="16"/>
      <c r="Q65" s="49"/>
      <c r="R65" s="50"/>
      <c r="S65" s="40"/>
      <c r="T65" s="40"/>
      <c r="U65" s="40"/>
      <c r="V65" s="40"/>
      <c r="W65" s="41"/>
      <c r="X65" s="16"/>
      <c r="Y65" s="6"/>
      <c r="Z65" s="19">
        <f>T52</f>
        <v>0</v>
      </c>
      <c r="AA65" s="70">
        <f>U52</f>
        <v>0</v>
      </c>
      <c r="AB65" s="3">
        <f>V52</f>
        <v>0</v>
      </c>
      <c r="AC65" s="17">
        <f>W52</f>
        <v>0</v>
      </c>
      <c r="AD65" s="20" t="e">
        <f>AB66-AB65</f>
        <v>#N/A</v>
      </c>
      <c r="AE65" s="16"/>
    </row>
    <row r="66" spans="1:33" ht="14.25" thickTop="1" thickBot="1">
      <c r="A66" s="47"/>
      <c r="B66" s="50"/>
      <c r="C66" s="40"/>
      <c r="D66" s="40"/>
      <c r="E66" s="40"/>
      <c r="F66" s="40"/>
      <c r="G66" s="41"/>
      <c r="H66" s="2"/>
      <c r="I66" s="51"/>
      <c r="J66" s="51"/>
      <c r="K66" s="30"/>
      <c r="L66" s="23" t="s">
        <v>20</v>
      </c>
      <c r="M66" s="3" t="e">
        <f>VLOOKUP($D52,$D56:$G70,3,FALSE)</f>
        <v>#N/A</v>
      </c>
      <c r="N66" s="17" t="e">
        <f>VLOOKUP($D52,$D56:$G70,4,FALSE)</f>
        <v>#N/A</v>
      </c>
      <c r="O66" s="26" t="e">
        <f>N66-N65</f>
        <v>#N/A</v>
      </c>
      <c r="P66" s="16"/>
      <c r="Q66" s="49"/>
      <c r="R66" s="50"/>
      <c r="S66" s="40"/>
      <c r="T66" s="40"/>
      <c r="U66" s="40"/>
      <c r="V66" s="40"/>
      <c r="W66" s="41"/>
      <c r="X66" s="16"/>
      <c r="Y66" s="2"/>
      <c r="Z66" s="30"/>
      <c r="AA66" s="23" t="s">
        <v>20</v>
      </c>
      <c r="AB66" s="3" t="e">
        <f>VLOOKUP($T52,$T56:$W70,3,FALSE)</f>
        <v>#N/A</v>
      </c>
      <c r="AC66" s="17" t="e">
        <f>VLOOKUP($T52,$T56:$W70,4,FALSE)</f>
        <v>#N/A</v>
      </c>
      <c r="AD66" s="26" t="e">
        <f>AC66-AC65</f>
        <v>#N/A</v>
      </c>
      <c r="AE66" s="16"/>
    </row>
    <row r="67" spans="1:33" ht="14.25" thickTop="1" thickBot="1">
      <c r="A67" s="47"/>
      <c r="B67" s="50"/>
      <c r="C67" s="40"/>
      <c r="D67" s="40"/>
      <c r="E67" s="40"/>
      <c r="F67" s="40"/>
      <c r="G67" s="41"/>
      <c r="H67" s="2"/>
      <c r="I67" s="51"/>
      <c r="J67" s="51"/>
      <c r="K67" s="19">
        <f>D53</f>
        <v>0</v>
      </c>
      <c r="L67" s="70">
        <f>E53</f>
        <v>0</v>
      </c>
      <c r="M67" s="3">
        <f>F53</f>
        <v>0</v>
      </c>
      <c r="N67" s="17">
        <f>G53</f>
        <v>0</v>
      </c>
      <c r="O67" s="20" t="e">
        <f>M68-M67</f>
        <v>#N/A</v>
      </c>
      <c r="P67" s="16"/>
      <c r="Q67" s="49"/>
      <c r="R67" s="50"/>
      <c r="S67" s="40"/>
      <c r="T67" s="40"/>
      <c r="U67" s="40"/>
      <c r="V67" s="40"/>
      <c r="W67" s="41"/>
      <c r="X67" s="16"/>
      <c r="Y67" s="6"/>
      <c r="Z67" s="19">
        <f>T53</f>
        <v>0</v>
      </c>
      <c r="AA67" s="70">
        <f>U53</f>
        <v>0</v>
      </c>
      <c r="AB67" s="3">
        <f>V53</f>
        <v>0</v>
      </c>
      <c r="AC67" s="17">
        <f>W53</f>
        <v>0</v>
      </c>
      <c r="AD67" s="20" t="e">
        <f>AB68-AB67</f>
        <v>#N/A</v>
      </c>
      <c r="AE67" s="16"/>
    </row>
    <row r="68" spans="1:33" ht="14.25" thickTop="1" thickBot="1">
      <c r="A68" s="47"/>
      <c r="B68" s="50"/>
      <c r="H68" s="2"/>
      <c r="I68" s="51"/>
      <c r="J68" s="51"/>
      <c r="K68" s="30"/>
      <c r="L68" s="24" t="s">
        <v>20</v>
      </c>
      <c r="M68" s="3" t="e">
        <f>VLOOKUP($D53,$D56:$G70,3,FALSE)</f>
        <v>#N/A</v>
      </c>
      <c r="N68" s="17" t="e">
        <f>VLOOKUP($D53,$D56:$G70,4,FALSE)</f>
        <v>#N/A</v>
      </c>
      <c r="O68" s="25" t="e">
        <f>N68-N67</f>
        <v>#N/A</v>
      </c>
      <c r="P68" s="38"/>
      <c r="Q68" s="49"/>
      <c r="R68" s="50"/>
      <c r="W68" s="1"/>
      <c r="X68" s="38"/>
      <c r="Y68" s="2"/>
      <c r="Z68" s="30"/>
      <c r="AA68" s="24" t="s">
        <v>20</v>
      </c>
      <c r="AB68" s="3" t="e">
        <f>VLOOKUP($T53,$T56:$W70,3,FALSE)</f>
        <v>#N/A</v>
      </c>
      <c r="AC68" s="17" t="e">
        <f>VLOOKUP($T53,$T56:$W70,4,FALSE)</f>
        <v>#N/A</v>
      </c>
      <c r="AD68" s="25" t="e">
        <f>AC68-AC67</f>
        <v>#N/A</v>
      </c>
      <c r="AE68" s="38"/>
    </row>
    <row r="69" spans="1:33" ht="13.5" thickTop="1">
      <c r="A69" s="47"/>
      <c r="B69" s="50"/>
      <c r="H69" s="2"/>
      <c r="I69" s="48"/>
      <c r="J69" s="2"/>
      <c r="K69" s="31"/>
      <c r="L69" s="6"/>
      <c r="M69" s="11"/>
      <c r="N69" s="11"/>
      <c r="O69" s="6"/>
      <c r="P69" s="38"/>
      <c r="Q69" s="49"/>
      <c r="R69" s="50"/>
      <c r="W69" s="1"/>
      <c r="X69" s="38"/>
      <c r="Y69" s="2"/>
      <c r="Z69" s="31"/>
      <c r="AA69" s="6"/>
      <c r="AB69" s="11"/>
      <c r="AC69" s="11"/>
      <c r="AD69" s="6"/>
      <c r="AE69" s="38"/>
    </row>
    <row r="70" spans="1:33" ht="13.5" thickBot="1">
      <c r="A70" s="47"/>
      <c r="B70" s="50"/>
      <c r="H70" s="2"/>
      <c r="I70" s="48"/>
      <c r="J70" s="2"/>
      <c r="K70" s="27"/>
      <c r="L70" s="2"/>
      <c r="M70" s="2"/>
      <c r="N70" s="2"/>
      <c r="O70" s="2"/>
      <c r="P70" s="38"/>
      <c r="Q70" s="49"/>
      <c r="R70" s="50"/>
      <c r="W70" s="1"/>
      <c r="X70" s="38"/>
      <c r="Y70" s="2"/>
      <c r="Z70" s="27"/>
      <c r="AA70" s="2"/>
      <c r="AB70" s="2"/>
      <c r="AC70" s="2"/>
      <c r="AD70" s="2"/>
      <c r="AE70" s="38"/>
    </row>
    <row r="71" spans="1:33" ht="13.5" thickTop="1">
      <c r="A71" s="47"/>
      <c r="B71" s="48"/>
      <c r="C71" s="32"/>
      <c r="D71" s="32" t="s">
        <v>46</v>
      </c>
      <c r="E71" s="42"/>
      <c r="F71" s="32" t="s">
        <v>47</v>
      </c>
      <c r="G71" s="33"/>
      <c r="H71" s="2"/>
      <c r="I71" s="48"/>
      <c r="J71" s="2"/>
      <c r="K71" s="27"/>
      <c r="L71" s="2"/>
      <c r="M71" s="2"/>
      <c r="N71" s="2"/>
      <c r="O71" s="2"/>
      <c r="P71" s="38"/>
      <c r="Q71" s="49"/>
      <c r="R71" s="48"/>
      <c r="S71" s="32"/>
      <c r="T71" s="32" t="s">
        <v>46</v>
      </c>
      <c r="U71" s="42"/>
      <c r="V71" s="32" t="s">
        <v>47</v>
      </c>
      <c r="W71" s="33"/>
      <c r="X71" s="38"/>
      <c r="Y71" s="2"/>
      <c r="Z71" s="27"/>
      <c r="AA71" s="2"/>
      <c r="AB71" s="2"/>
      <c r="AC71" s="2"/>
      <c r="AD71" s="2"/>
      <c r="AE71" s="38"/>
    </row>
    <row r="72" spans="1:33">
      <c r="A72" s="47"/>
      <c r="B72" s="48"/>
      <c r="C72" s="56" t="s">
        <v>41</v>
      </c>
      <c r="D72" s="56"/>
      <c r="E72" s="57"/>
      <c r="F72" s="57"/>
      <c r="G72" s="58"/>
      <c r="H72" s="57"/>
      <c r="I72" s="57"/>
      <c r="J72" s="57"/>
      <c r="K72" s="59"/>
      <c r="L72" s="57"/>
      <c r="M72" s="57"/>
      <c r="N72" s="57"/>
      <c r="O72" s="57"/>
      <c r="P72" s="4"/>
      <c r="Q72" s="49"/>
      <c r="R72" s="48"/>
      <c r="S72" s="52" t="s">
        <v>41</v>
      </c>
      <c r="T72" s="52"/>
      <c r="U72" s="53"/>
      <c r="V72" s="53"/>
      <c r="W72" s="54"/>
      <c r="X72" s="53"/>
      <c r="Y72" s="53"/>
      <c r="Z72" s="55"/>
      <c r="AA72" s="53"/>
      <c r="AB72" s="53"/>
      <c r="AC72" s="53"/>
      <c r="AD72" s="53"/>
      <c r="AE72" s="4"/>
    </row>
    <row r="73" spans="1:33" ht="13.5" thickBot="1">
      <c r="A73" s="47"/>
      <c r="B73" s="48"/>
      <c r="C73" s="8" t="s">
        <v>36</v>
      </c>
      <c r="D73" s="8" t="s">
        <v>18</v>
      </c>
      <c r="E73" s="8" t="s">
        <v>14</v>
      </c>
      <c r="F73" s="8" t="s">
        <v>15</v>
      </c>
      <c r="G73" s="8" t="s">
        <v>16</v>
      </c>
      <c r="H73" s="2"/>
      <c r="I73" s="2"/>
      <c r="J73" s="2"/>
      <c r="K73" s="28" t="s">
        <v>17</v>
      </c>
      <c r="L73" s="9" t="s">
        <v>14</v>
      </c>
      <c r="M73" s="9" t="s">
        <v>15</v>
      </c>
      <c r="N73" s="9" t="s">
        <v>16</v>
      </c>
      <c r="O73" s="9" t="s">
        <v>19</v>
      </c>
      <c r="P73" s="4"/>
      <c r="Q73" s="49"/>
      <c r="R73" s="48"/>
      <c r="S73" s="8" t="s">
        <v>36</v>
      </c>
      <c r="T73" s="8" t="s">
        <v>18</v>
      </c>
      <c r="U73" s="8" t="s">
        <v>14</v>
      </c>
      <c r="V73" s="8" t="s">
        <v>15</v>
      </c>
      <c r="W73" s="8" t="s">
        <v>16</v>
      </c>
      <c r="X73" s="4"/>
      <c r="Y73" s="2"/>
      <c r="Z73" s="28" t="s">
        <v>17</v>
      </c>
      <c r="AA73" s="9" t="s">
        <v>14</v>
      </c>
      <c r="AB73" s="9" t="s">
        <v>15</v>
      </c>
      <c r="AC73" s="9" t="s">
        <v>16</v>
      </c>
      <c r="AD73" s="9" t="s">
        <v>19</v>
      </c>
      <c r="AE73" s="4"/>
    </row>
    <row r="74" spans="1:33" ht="14.25" thickTop="1" thickBot="1">
      <c r="A74" s="47"/>
      <c r="B74" s="50"/>
      <c r="C74" s="40"/>
      <c r="D74" s="40"/>
      <c r="E74" s="40"/>
      <c r="F74" s="41"/>
      <c r="G74" s="41"/>
      <c r="H74" s="18">
        <v>922689</v>
      </c>
      <c r="I74" s="51"/>
      <c r="J74" s="51"/>
      <c r="K74" s="29">
        <f>D74</f>
        <v>0</v>
      </c>
      <c r="L74" s="70">
        <f>E74</f>
        <v>0</v>
      </c>
      <c r="M74" s="17">
        <f>F74</f>
        <v>0</v>
      </c>
      <c r="N74" s="17">
        <f>G74</f>
        <v>0</v>
      </c>
      <c r="O74" s="20" t="e">
        <f>M75-M74</f>
        <v>#N/A</v>
      </c>
      <c r="P74" s="16"/>
      <c r="Q74" s="49"/>
      <c r="R74" s="50"/>
      <c r="S74" s="40"/>
      <c r="T74" s="40"/>
      <c r="U74" s="40"/>
      <c r="V74" s="41"/>
      <c r="W74" s="41"/>
      <c r="X74" s="16"/>
      <c r="Y74" s="6"/>
      <c r="Z74" s="29">
        <f>T74</f>
        <v>0</v>
      </c>
      <c r="AA74" s="70">
        <f>U74</f>
        <v>0</v>
      </c>
      <c r="AB74" s="17">
        <f>V74</f>
        <v>0</v>
      </c>
      <c r="AC74" s="17">
        <f>W74</f>
        <v>0</v>
      </c>
      <c r="AD74" s="20" t="e">
        <f>AB75-AB74</f>
        <v>#N/A</v>
      </c>
      <c r="AE74" s="16"/>
    </row>
    <row r="75" spans="1:33" ht="14.25" thickTop="1" thickBot="1">
      <c r="A75" s="47"/>
      <c r="B75" s="50"/>
      <c r="C75" s="40"/>
      <c r="D75" s="40"/>
      <c r="E75" s="40"/>
      <c r="F75" s="41"/>
      <c r="G75" s="41"/>
      <c r="H75" s="18">
        <v>896047</v>
      </c>
      <c r="I75" s="51"/>
      <c r="J75" s="51"/>
      <c r="K75" s="30"/>
      <c r="L75" s="23" t="s">
        <v>20</v>
      </c>
      <c r="M75" s="3" t="e">
        <f>VLOOKUP($D74,$D91:$G105,3,FALSE)</f>
        <v>#N/A</v>
      </c>
      <c r="N75" s="17" t="e">
        <f>VLOOKUP($D$4,$D91:$G105,4,FALSE)</f>
        <v>#N/A</v>
      </c>
      <c r="O75" s="26" t="e">
        <f>N75-N74</f>
        <v>#N/A</v>
      </c>
      <c r="P75" s="16"/>
      <c r="Q75" s="49"/>
      <c r="R75" s="50"/>
      <c r="S75" s="40"/>
      <c r="T75" s="40"/>
      <c r="U75" s="40"/>
      <c r="V75" s="41"/>
      <c r="W75" s="41"/>
      <c r="X75" s="16"/>
      <c r="Y75" s="2"/>
      <c r="Z75" s="30"/>
      <c r="AA75" s="23" t="s">
        <v>20</v>
      </c>
      <c r="AB75" s="3" t="e">
        <f>VLOOKUP($T74,$T91:$W105,3,FALSE)</f>
        <v>#N/A</v>
      </c>
      <c r="AC75" s="17" t="e">
        <f>VLOOKUP($T74,$T91:$W105,4,FALSE)</f>
        <v>#N/A</v>
      </c>
      <c r="AD75" s="26" t="e">
        <f>AC75-AC74</f>
        <v>#N/A</v>
      </c>
      <c r="AE75" s="16"/>
    </row>
    <row r="76" spans="1:33" ht="14.25" thickTop="1" thickBot="1">
      <c r="A76" s="47"/>
      <c r="B76" s="50"/>
      <c r="C76" s="40"/>
      <c r="D76" s="40"/>
      <c r="E76" s="40"/>
      <c r="F76" s="41"/>
      <c r="G76" s="41"/>
      <c r="H76" s="18">
        <v>588467</v>
      </c>
      <c r="I76" s="51"/>
      <c r="J76" s="51"/>
      <c r="K76" s="19">
        <f>D75</f>
        <v>0</v>
      </c>
      <c r="L76" s="70">
        <f>E75</f>
        <v>0</v>
      </c>
      <c r="M76" s="3">
        <f>F75</f>
        <v>0</v>
      </c>
      <c r="N76" s="17">
        <f>G75</f>
        <v>0</v>
      </c>
      <c r="O76" s="20" t="e">
        <f>M77-M76</f>
        <v>#N/A</v>
      </c>
      <c r="P76" s="16"/>
      <c r="Q76" s="49"/>
      <c r="R76" s="50"/>
      <c r="S76" s="40"/>
      <c r="T76" s="40"/>
      <c r="U76" s="40"/>
      <c r="V76" s="41"/>
      <c r="W76" s="41"/>
      <c r="X76" s="16"/>
      <c r="Y76" s="6"/>
      <c r="Z76" s="19">
        <f>T75</f>
        <v>0</v>
      </c>
      <c r="AA76" s="70">
        <f>U75</f>
        <v>0</v>
      </c>
      <c r="AB76" s="3">
        <f>V75</f>
        <v>0</v>
      </c>
      <c r="AC76" s="17">
        <f>W75</f>
        <v>0</v>
      </c>
      <c r="AD76" s="20" t="e">
        <f>AB77-AB76</f>
        <v>#N/A</v>
      </c>
      <c r="AE76" s="16"/>
      <c r="AG76" s="35"/>
    </row>
    <row r="77" spans="1:33" ht="14.25" thickTop="1" thickBot="1">
      <c r="A77" s="47"/>
      <c r="B77" s="50"/>
      <c r="C77" s="40"/>
      <c r="D77" s="40"/>
      <c r="E77" s="40"/>
      <c r="F77" s="41"/>
      <c r="G77" s="41"/>
      <c r="H77" s="18">
        <v>600459</v>
      </c>
      <c r="I77" s="51"/>
      <c r="J77" s="51"/>
      <c r="K77" s="30"/>
      <c r="L77" s="23" t="s">
        <v>20</v>
      </c>
      <c r="M77" s="3" t="e">
        <f>VLOOKUP($D75,$D91:$G105,3,FALSE)</f>
        <v>#N/A</v>
      </c>
      <c r="N77" s="17" t="e">
        <f>VLOOKUP($D75,$D91:$G105,4,FALSE)</f>
        <v>#N/A</v>
      </c>
      <c r="O77" s="26" t="e">
        <f>N77-N76</f>
        <v>#N/A</v>
      </c>
      <c r="P77" s="16"/>
      <c r="Q77" s="49"/>
      <c r="R77" s="50"/>
      <c r="S77" s="40"/>
      <c r="T77" s="40"/>
      <c r="U77" s="40"/>
      <c r="V77" s="41"/>
      <c r="W77" s="41"/>
      <c r="X77" s="16"/>
      <c r="Y77" s="2"/>
      <c r="Z77" s="30"/>
      <c r="AA77" s="23" t="s">
        <v>20</v>
      </c>
      <c r="AB77" s="3" t="e">
        <f>VLOOKUP($T75,$T91:$W105,3,FALSE)</f>
        <v>#N/A</v>
      </c>
      <c r="AC77" s="17" t="e">
        <f>VLOOKUP($T75,$T91:$W105,4,FALSE)</f>
        <v>#N/A</v>
      </c>
      <c r="AD77" s="26" t="e">
        <f>AC77-AC76</f>
        <v>#N/A</v>
      </c>
      <c r="AE77" s="16"/>
    </row>
    <row r="78" spans="1:33" ht="14.25" thickTop="1" thickBot="1">
      <c r="A78" s="47"/>
      <c r="B78" s="50"/>
      <c r="C78" s="40"/>
      <c r="D78" s="40"/>
      <c r="E78" s="40"/>
      <c r="F78" s="40"/>
      <c r="G78" s="41"/>
      <c r="H78" s="18">
        <v>432716</v>
      </c>
      <c r="I78" s="51"/>
      <c r="J78" s="51"/>
      <c r="K78" s="19">
        <f>D76</f>
        <v>0</v>
      </c>
      <c r="L78" s="70">
        <f>E76</f>
        <v>0</v>
      </c>
      <c r="M78" s="3">
        <f>F76</f>
        <v>0</v>
      </c>
      <c r="N78" s="17">
        <f>G76</f>
        <v>0</v>
      </c>
      <c r="O78" s="20" t="e">
        <f>M79-M78</f>
        <v>#N/A</v>
      </c>
      <c r="P78" s="16"/>
      <c r="Q78" s="49"/>
      <c r="R78" s="50"/>
      <c r="S78" s="40"/>
      <c r="T78" s="40"/>
      <c r="U78" s="40"/>
      <c r="V78" s="41"/>
      <c r="W78" s="41"/>
      <c r="X78" s="16"/>
      <c r="Y78" s="6"/>
      <c r="Z78" s="19">
        <f>T76</f>
        <v>0</v>
      </c>
      <c r="AA78" s="70">
        <f>U76</f>
        <v>0</v>
      </c>
      <c r="AB78" s="3">
        <f>V76</f>
        <v>0</v>
      </c>
      <c r="AC78" s="17">
        <f>W76</f>
        <v>0</v>
      </c>
      <c r="AD78" s="20" t="e">
        <f>AB79-AB78</f>
        <v>#N/A</v>
      </c>
      <c r="AE78" s="16"/>
    </row>
    <row r="79" spans="1:33" ht="14.25" thickTop="1" thickBot="1">
      <c r="A79" s="47"/>
      <c r="B79" s="50"/>
      <c r="C79" s="40"/>
      <c r="D79" s="40"/>
      <c r="E79" s="40"/>
      <c r="F79" s="40"/>
      <c r="G79" s="41"/>
      <c r="H79" s="18">
        <v>149538</v>
      </c>
      <c r="I79" s="51"/>
      <c r="J79" s="51"/>
      <c r="K79" s="30"/>
      <c r="L79" s="23" t="s">
        <v>20</v>
      </c>
      <c r="M79" s="3" t="e">
        <f>VLOOKUP($D76,$D91:$G105,3,FALSE)</f>
        <v>#N/A</v>
      </c>
      <c r="N79" s="17" t="e">
        <f>VLOOKUP($D76,$D91:$G105,4,FALSE)</f>
        <v>#N/A</v>
      </c>
      <c r="O79" s="26" t="e">
        <f>N79-N78</f>
        <v>#N/A</v>
      </c>
      <c r="P79" s="16"/>
      <c r="Q79" s="49"/>
      <c r="R79" s="50"/>
      <c r="S79" s="40"/>
      <c r="T79" s="40"/>
      <c r="U79" s="40"/>
      <c r="V79" s="41"/>
      <c r="W79" s="41"/>
      <c r="X79" s="16"/>
      <c r="Y79" s="2"/>
      <c r="Z79" s="30"/>
      <c r="AA79" s="23" t="s">
        <v>20</v>
      </c>
      <c r="AB79" s="3" t="e">
        <f>VLOOKUP($T76,$T91:$W105,3,FALSE)</f>
        <v>#N/A</v>
      </c>
      <c r="AC79" s="17" t="e">
        <f>VLOOKUP($T76,$T91:$W105,4,FALSE)</f>
        <v>#N/A</v>
      </c>
      <c r="AD79" s="26" t="e">
        <f>AC79-AC78</f>
        <v>#N/A</v>
      </c>
      <c r="AE79" s="16"/>
    </row>
    <row r="80" spans="1:33" ht="14.25" thickTop="1" thickBot="1">
      <c r="A80" s="47"/>
      <c r="B80" s="50"/>
      <c r="C80" s="40"/>
      <c r="D80" s="40"/>
      <c r="E80" s="40"/>
      <c r="F80" s="40"/>
      <c r="G80" s="41"/>
      <c r="H80" s="18">
        <v>101933</v>
      </c>
      <c r="I80" s="51"/>
      <c r="J80" s="51"/>
      <c r="K80" s="19">
        <f>D77</f>
        <v>0</v>
      </c>
      <c r="L80" s="70">
        <f>E77</f>
        <v>0</v>
      </c>
      <c r="M80" s="3">
        <f>F77</f>
        <v>0</v>
      </c>
      <c r="N80" s="17">
        <f>G77</f>
        <v>0</v>
      </c>
      <c r="O80" s="20" t="e">
        <f>M81-M80</f>
        <v>#N/A</v>
      </c>
      <c r="P80" s="16"/>
      <c r="Q80" s="49"/>
      <c r="R80" s="50"/>
      <c r="S80" s="40"/>
      <c r="T80" s="40"/>
      <c r="U80" s="40"/>
      <c r="V80" s="40"/>
      <c r="W80" s="41"/>
      <c r="X80" s="16"/>
      <c r="Y80" s="6"/>
      <c r="Z80" s="19">
        <f>T77</f>
        <v>0</v>
      </c>
      <c r="AA80" s="70">
        <f>U77</f>
        <v>0</v>
      </c>
      <c r="AB80" s="3">
        <f>V77</f>
        <v>0</v>
      </c>
      <c r="AC80" s="17">
        <f>W77</f>
        <v>0</v>
      </c>
      <c r="AD80" s="20" t="e">
        <f>AB81-AB80</f>
        <v>#N/A</v>
      </c>
      <c r="AE80" s="16"/>
    </row>
    <row r="81" spans="1:31" ht="14.25" thickTop="1" thickBot="1">
      <c r="A81" s="47"/>
      <c r="B81" s="50"/>
      <c r="C81" s="40"/>
      <c r="D81" s="40"/>
      <c r="E81" s="40"/>
      <c r="F81" s="40"/>
      <c r="G81" s="41"/>
      <c r="H81" s="18">
        <v>6850</v>
      </c>
      <c r="I81" s="51"/>
      <c r="J81" s="51"/>
      <c r="K81" s="30"/>
      <c r="L81" s="23" t="s">
        <v>20</v>
      </c>
      <c r="M81" s="3" t="e">
        <f>VLOOKUP($D77,$D91:$G105,3,FALSE)</f>
        <v>#N/A</v>
      </c>
      <c r="N81" s="17" t="e">
        <f>VLOOKUP($D77,$D91:$G105,4,FALSE)</f>
        <v>#N/A</v>
      </c>
      <c r="O81" s="26" t="e">
        <f>N81-N80</f>
        <v>#N/A</v>
      </c>
      <c r="P81" s="16"/>
      <c r="Q81" s="49"/>
      <c r="R81" s="50"/>
      <c r="S81" s="40"/>
      <c r="T81" s="40"/>
      <c r="U81" s="40"/>
      <c r="V81" s="40"/>
      <c r="W81" s="41"/>
      <c r="X81" s="16"/>
      <c r="Y81" s="2"/>
      <c r="Z81" s="30"/>
      <c r="AA81" s="23" t="s">
        <v>20</v>
      </c>
      <c r="AB81" s="3" t="e">
        <f>VLOOKUP($T77,$T91:$W105,3,FALSE)</f>
        <v>#N/A</v>
      </c>
      <c r="AC81" s="17" t="e">
        <f>VLOOKUP($T77,$T91:$W105,4,FALSE)</f>
        <v>#N/A</v>
      </c>
      <c r="AD81" s="26" t="e">
        <f>AC81-AC80</f>
        <v>#N/A</v>
      </c>
      <c r="AE81" s="16"/>
    </row>
    <row r="82" spans="1:31" ht="14.25" thickTop="1" thickBot="1">
      <c r="A82" s="47"/>
      <c r="B82" s="50"/>
      <c r="C82" s="40"/>
      <c r="D82" s="40"/>
      <c r="E82" s="40"/>
      <c r="F82" s="40"/>
      <c r="G82" s="41"/>
      <c r="H82" s="18">
        <v>6165</v>
      </c>
      <c r="I82" s="51"/>
      <c r="J82" s="51"/>
      <c r="K82" s="29">
        <f>D78</f>
        <v>0</v>
      </c>
      <c r="L82" s="70">
        <f>E78</f>
        <v>0</v>
      </c>
      <c r="M82" s="3">
        <f>F78</f>
        <v>0</v>
      </c>
      <c r="N82" s="17">
        <f>G78</f>
        <v>0</v>
      </c>
      <c r="O82" s="20" t="e">
        <f>M83-M82</f>
        <v>#N/A</v>
      </c>
      <c r="P82" s="16"/>
      <c r="Q82" s="49"/>
      <c r="R82" s="50"/>
      <c r="S82" s="40"/>
      <c r="T82" s="40"/>
      <c r="U82" s="40"/>
      <c r="V82" s="40"/>
      <c r="W82" s="41"/>
      <c r="X82" s="16"/>
      <c r="Y82" s="6"/>
      <c r="Z82" s="29">
        <f>T78</f>
        <v>0</v>
      </c>
      <c r="AA82" s="70">
        <f>U78</f>
        <v>0</v>
      </c>
      <c r="AB82" s="3">
        <f>V78</f>
        <v>0</v>
      </c>
      <c r="AC82" s="17">
        <f>W78</f>
        <v>0</v>
      </c>
      <c r="AD82" s="20" t="e">
        <f>AB83-AB82</f>
        <v>#N/A</v>
      </c>
      <c r="AE82" s="16"/>
    </row>
    <row r="83" spans="1:31" ht="14.25" thickTop="1" thickBot="1">
      <c r="A83" s="47"/>
      <c r="B83" s="50"/>
      <c r="C83" s="40"/>
      <c r="D83" s="40"/>
      <c r="E83" s="40"/>
      <c r="F83" s="40"/>
      <c r="G83" s="41"/>
      <c r="H83" s="18">
        <v>6010</v>
      </c>
      <c r="I83" s="51"/>
      <c r="J83" s="51"/>
      <c r="K83" s="30"/>
      <c r="L83" s="23" t="s">
        <v>20</v>
      </c>
      <c r="M83" s="3" t="e">
        <f>VLOOKUP($D78,$D91:$G105,3,FALSE)</f>
        <v>#N/A</v>
      </c>
      <c r="N83" s="17" t="e">
        <f>VLOOKUP($D78,$D91:$G105,4,FALSE)</f>
        <v>#N/A</v>
      </c>
      <c r="O83" s="26" t="e">
        <f>N83-N82</f>
        <v>#N/A</v>
      </c>
      <c r="P83" s="16"/>
      <c r="Q83" s="49"/>
      <c r="R83" s="50"/>
      <c r="S83" s="40"/>
      <c r="T83" s="40"/>
      <c r="U83" s="40"/>
      <c r="V83" s="40"/>
      <c r="W83" s="41"/>
      <c r="X83" s="16"/>
      <c r="Y83" s="2"/>
      <c r="Z83" s="30"/>
      <c r="AA83" s="23" t="s">
        <v>20</v>
      </c>
      <c r="AB83" s="3" t="e">
        <f>VLOOKUP($T78,$T91:$W105,3,FALSE)</f>
        <v>#N/A</v>
      </c>
      <c r="AC83" s="17" t="e">
        <f>VLOOKUP($T78,$T91:$W105,4,FALSE)</f>
        <v>#N/A</v>
      </c>
      <c r="AD83" s="26" t="e">
        <f>AC83-AC82</f>
        <v>#N/A</v>
      </c>
      <c r="AE83" s="16"/>
    </row>
    <row r="84" spans="1:31" ht="14.25" thickTop="1" thickBot="1">
      <c r="A84" s="47"/>
      <c r="B84" s="50"/>
      <c r="C84" s="40"/>
      <c r="D84" s="40"/>
      <c r="E84" s="40"/>
      <c r="F84" s="40"/>
      <c r="G84" s="41"/>
      <c r="H84" s="2"/>
      <c r="I84" s="51"/>
      <c r="J84" s="51"/>
      <c r="K84" s="19">
        <f>D79</f>
        <v>0</v>
      </c>
      <c r="L84" s="70">
        <f>E79</f>
        <v>0</v>
      </c>
      <c r="M84" s="3">
        <f>F79</f>
        <v>0</v>
      </c>
      <c r="N84" s="17">
        <f>G79</f>
        <v>0</v>
      </c>
      <c r="O84" s="20" t="e">
        <f>M85-M84</f>
        <v>#N/A</v>
      </c>
      <c r="P84" s="16"/>
      <c r="Q84" s="49"/>
      <c r="R84" s="50"/>
      <c r="S84" s="40"/>
      <c r="T84" s="40"/>
      <c r="U84" s="40"/>
      <c r="V84" s="40"/>
      <c r="W84" s="41"/>
      <c r="X84" s="16"/>
      <c r="Y84" s="6"/>
      <c r="Z84" s="19">
        <f>T79</f>
        <v>0</v>
      </c>
      <c r="AA84" s="70">
        <f>U79</f>
        <v>0</v>
      </c>
      <c r="AB84" s="3">
        <f>V79</f>
        <v>0</v>
      </c>
      <c r="AC84" s="17">
        <f>W79</f>
        <v>0</v>
      </c>
      <c r="AD84" s="20" t="e">
        <f>AB85-AB84</f>
        <v>#N/A</v>
      </c>
      <c r="AE84" s="16"/>
    </row>
    <row r="85" spans="1:31" ht="14.25" thickTop="1" thickBot="1">
      <c r="A85" s="47"/>
      <c r="B85" s="50"/>
      <c r="C85" s="40"/>
      <c r="D85" s="40"/>
      <c r="E85" s="40"/>
      <c r="F85" s="40"/>
      <c r="G85" s="41"/>
      <c r="H85" s="2"/>
      <c r="I85" s="51"/>
      <c r="J85" s="51"/>
      <c r="K85" s="30"/>
      <c r="L85" s="23" t="s">
        <v>20</v>
      </c>
      <c r="M85" s="3" t="e">
        <f>VLOOKUP($D79,$D91:$G105,3,FALSE)</f>
        <v>#N/A</v>
      </c>
      <c r="N85" s="17" t="e">
        <f>VLOOKUP($D79,$D91:$G105,4,FALSE)</f>
        <v>#N/A</v>
      </c>
      <c r="O85" s="26" t="e">
        <f>N85-N84</f>
        <v>#N/A</v>
      </c>
      <c r="P85" s="16"/>
      <c r="Q85" s="49"/>
      <c r="R85" s="50"/>
      <c r="S85" s="40"/>
      <c r="T85" s="40"/>
      <c r="U85" s="40"/>
      <c r="V85" s="40"/>
      <c r="W85" s="41"/>
      <c r="X85" s="16"/>
      <c r="Y85" s="2"/>
      <c r="Z85" s="30"/>
      <c r="AA85" s="23" t="s">
        <v>20</v>
      </c>
      <c r="AB85" s="3" t="e">
        <f>VLOOKUP($T79,$T91:$W105,3,FALSE)</f>
        <v>#N/A</v>
      </c>
      <c r="AC85" s="17" t="e">
        <f>VLOOKUP($T79,$T91:$W105,4,FALSE)</f>
        <v>#N/A</v>
      </c>
      <c r="AD85" s="26" t="e">
        <f>AC85-AC84</f>
        <v>#N/A</v>
      </c>
      <c r="AE85" s="16"/>
    </row>
    <row r="86" spans="1:31" ht="14.25" thickTop="1" thickBot="1">
      <c r="A86" s="47"/>
      <c r="B86" s="50"/>
      <c r="H86" s="2"/>
      <c r="I86" s="51"/>
      <c r="J86" s="51"/>
      <c r="K86" s="19">
        <f>D80</f>
        <v>0</v>
      </c>
      <c r="L86" s="70">
        <f>E80</f>
        <v>0</v>
      </c>
      <c r="M86" s="3">
        <f>F80</f>
        <v>0</v>
      </c>
      <c r="N86" s="17">
        <f>G80</f>
        <v>0</v>
      </c>
      <c r="O86" s="20" t="e">
        <f>M87-M86</f>
        <v>#N/A</v>
      </c>
      <c r="P86" s="16"/>
      <c r="Q86" s="49"/>
      <c r="R86" s="50"/>
      <c r="W86" s="1"/>
      <c r="X86" s="16"/>
      <c r="Y86" s="6"/>
      <c r="Z86" s="19">
        <f>T80</f>
        <v>0</v>
      </c>
      <c r="AA86" s="70">
        <f>U80</f>
        <v>0</v>
      </c>
      <c r="AB86" s="3">
        <f>V80</f>
        <v>0</v>
      </c>
      <c r="AC86" s="17">
        <f>W80</f>
        <v>0</v>
      </c>
      <c r="AD86" s="20" t="e">
        <f>AB87-AB86</f>
        <v>#N/A</v>
      </c>
      <c r="AE86" s="16"/>
    </row>
    <row r="87" spans="1:31" ht="14.25" thickTop="1" thickBot="1">
      <c r="A87" s="47"/>
      <c r="B87" s="50"/>
      <c r="H87" s="2"/>
      <c r="I87" s="51"/>
      <c r="J87" s="51"/>
      <c r="K87" s="30"/>
      <c r="L87" s="23" t="s">
        <v>20</v>
      </c>
      <c r="M87" s="3" t="e">
        <f>VLOOKUP($D80,$D91:$G105,3,FALSE)</f>
        <v>#N/A</v>
      </c>
      <c r="N87" s="17" t="e">
        <f>VLOOKUP($D80,$D91:$G105,4,FALSE)</f>
        <v>#N/A</v>
      </c>
      <c r="O87" s="26" t="e">
        <f>N87-N86</f>
        <v>#N/A</v>
      </c>
      <c r="P87" s="16"/>
      <c r="Q87" s="49"/>
      <c r="R87" s="50"/>
      <c r="W87" s="1"/>
      <c r="X87" s="16"/>
      <c r="Y87" s="2"/>
      <c r="Z87" s="30"/>
      <c r="AA87" s="23" t="s">
        <v>20</v>
      </c>
      <c r="AB87" s="3" t="e">
        <f>VLOOKUP($T80,$T91:$W105,3,FALSE)</f>
        <v>#N/A</v>
      </c>
      <c r="AC87" s="17" t="e">
        <f>VLOOKUP($T80,$T91:$W105,4,FALSE)</f>
        <v>#N/A</v>
      </c>
      <c r="AD87" s="26" t="e">
        <f>AC87-AC86</f>
        <v>#N/A</v>
      </c>
      <c r="AE87" s="16"/>
    </row>
    <row r="88" spans="1:31" ht="14.25" thickTop="1" thickBot="1">
      <c r="A88" s="47"/>
      <c r="B88" s="50"/>
      <c r="H88" s="2"/>
      <c r="I88" s="51"/>
      <c r="J88" s="51"/>
      <c r="K88" s="19">
        <f>D81</f>
        <v>0</v>
      </c>
      <c r="L88" s="70">
        <f>E81</f>
        <v>0</v>
      </c>
      <c r="M88" s="21">
        <f>F81</f>
        <v>0</v>
      </c>
      <c r="N88" s="22">
        <f>G81</f>
        <v>0</v>
      </c>
      <c r="O88" s="20" t="e">
        <f>M89-M88</f>
        <v>#N/A</v>
      </c>
      <c r="P88" s="16"/>
      <c r="Q88" s="49"/>
      <c r="R88" s="50"/>
      <c r="W88" s="1"/>
      <c r="X88" s="16"/>
      <c r="Y88" s="6"/>
      <c r="Z88" s="19">
        <f>T81</f>
        <v>0</v>
      </c>
      <c r="AA88" s="70">
        <f>U81</f>
        <v>0</v>
      </c>
      <c r="AB88" s="21">
        <f>V81</f>
        <v>0</v>
      </c>
      <c r="AC88" s="22">
        <f>W81</f>
        <v>0</v>
      </c>
      <c r="AD88" s="20" t="e">
        <f>AB89-AB88</f>
        <v>#N/A</v>
      </c>
      <c r="AE88" s="16"/>
    </row>
    <row r="89" spans="1:31" ht="14.25" thickTop="1" thickBot="1">
      <c r="A89" s="47"/>
      <c r="B89" s="48"/>
      <c r="C89" s="32"/>
      <c r="D89" s="32" t="s">
        <v>46</v>
      </c>
      <c r="E89" s="42"/>
      <c r="F89" s="32" t="s">
        <v>47</v>
      </c>
      <c r="G89" s="33"/>
      <c r="H89" s="2"/>
      <c r="I89" s="51"/>
      <c r="J89" s="51"/>
      <c r="K89" s="30"/>
      <c r="L89" s="23" t="s">
        <v>20</v>
      </c>
      <c r="M89" s="3" t="e">
        <f>VLOOKUP($D81,$D91:$G105,3,FALSE)</f>
        <v>#N/A</v>
      </c>
      <c r="N89" s="17" t="e">
        <f>VLOOKUP($D81,$D91:$G105,4,FALSE)</f>
        <v>#N/A</v>
      </c>
      <c r="O89" s="26" t="e">
        <f>N89-N88</f>
        <v>#N/A</v>
      </c>
      <c r="P89" s="16"/>
      <c r="Q89" s="49"/>
      <c r="R89" s="48"/>
      <c r="S89" s="32"/>
      <c r="T89" s="32" t="s">
        <v>46</v>
      </c>
      <c r="U89" s="42"/>
      <c r="V89" s="32" t="s">
        <v>47</v>
      </c>
      <c r="W89" s="33"/>
      <c r="X89" s="16"/>
      <c r="Y89" s="2"/>
      <c r="Z89" s="30"/>
      <c r="AA89" s="23" t="s">
        <v>20</v>
      </c>
      <c r="AB89" s="3" t="e">
        <f>VLOOKUP($T81,$T91:$W105,3,FALSE)</f>
        <v>#N/A</v>
      </c>
      <c r="AC89" s="17" t="e">
        <f>VLOOKUP($T81,$T91:$W105,4,FALSE)</f>
        <v>#N/A</v>
      </c>
      <c r="AD89" s="26" t="e">
        <f>AC89-AC88</f>
        <v>#N/A</v>
      </c>
      <c r="AE89" s="16"/>
    </row>
    <row r="90" spans="1:31" ht="14.25" thickTop="1" thickBot="1">
      <c r="A90" s="47"/>
      <c r="B90" s="51"/>
      <c r="C90" s="8" t="s">
        <v>36</v>
      </c>
      <c r="D90" s="8" t="s">
        <v>18</v>
      </c>
      <c r="E90" s="8" t="s">
        <v>14</v>
      </c>
      <c r="F90" s="8" t="s">
        <v>15</v>
      </c>
      <c r="G90" s="8" t="s">
        <v>16</v>
      </c>
      <c r="H90" s="2"/>
      <c r="I90" s="51"/>
      <c r="J90" s="51"/>
      <c r="K90" s="29">
        <f>D82</f>
        <v>0</v>
      </c>
      <c r="L90" s="70">
        <f>E82</f>
        <v>0</v>
      </c>
      <c r="M90" s="3">
        <f>F82</f>
        <v>0</v>
      </c>
      <c r="N90" s="17">
        <f>G82</f>
        <v>0</v>
      </c>
      <c r="O90" s="20" t="e">
        <f>M91-M90</f>
        <v>#N/A</v>
      </c>
      <c r="P90" s="16"/>
      <c r="Q90" s="49"/>
      <c r="R90" s="51"/>
      <c r="S90" s="8" t="s">
        <v>36</v>
      </c>
      <c r="T90" s="8" t="s">
        <v>18</v>
      </c>
      <c r="U90" s="8" t="s">
        <v>14</v>
      </c>
      <c r="V90" s="8" t="s">
        <v>15</v>
      </c>
      <c r="W90" s="8" t="s">
        <v>16</v>
      </c>
      <c r="X90" s="16"/>
      <c r="Y90" s="6"/>
      <c r="Z90" s="29">
        <f>T82</f>
        <v>0</v>
      </c>
      <c r="AA90" s="70">
        <f>U82</f>
        <v>0</v>
      </c>
      <c r="AB90" s="3">
        <f>V82</f>
        <v>0</v>
      </c>
      <c r="AC90" s="17">
        <f>W82</f>
        <v>0</v>
      </c>
      <c r="AD90" s="20" t="e">
        <f>AB91-AB90</f>
        <v>#N/A</v>
      </c>
      <c r="AE90" s="16"/>
    </row>
    <row r="91" spans="1:31" ht="14.25" thickTop="1" thickBot="1">
      <c r="A91" s="47"/>
      <c r="B91" s="50"/>
      <c r="C91" s="40"/>
      <c r="D91" s="40"/>
      <c r="E91" s="40"/>
      <c r="F91" s="41"/>
      <c r="G91" s="41"/>
      <c r="H91" s="2"/>
      <c r="I91" s="51"/>
      <c r="J91" s="51"/>
      <c r="K91" s="30"/>
      <c r="L91" s="23" t="s">
        <v>20</v>
      </c>
      <c r="M91" s="3" t="e">
        <f>VLOOKUP($D82,$D91:$G105,3,FALSE)</f>
        <v>#N/A</v>
      </c>
      <c r="N91" s="17" t="e">
        <f>VLOOKUP($D82,$D91:$G105,4,FALSE)</f>
        <v>#N/A</v>
      </c>
      <c r="O91" s="26" t="e">
        <f>N91-N90</f>
        <v>#N/A</v>
      </c>
      <c r="P91" s="16"/>
      <c r="Q91" s="49"/>
      <c r="R91" s="50"/>
      <c r="S91" s="40"/>
      <c r="T91" s="40"/>
      <c r="U91" s="40"/>
      <c r="V91" s="41"/>
      <c r="W91" s="41"/>
      <c r="X91" s="16"/>
      <c r="Y91" s="2"/>
      <c r="Z91" s="30"/>
      <c r="AA91" s="23" t="s">
        <v>20</v>
      </c>
      <c r="AB91" s="3" t="e">
        <f>VLOOKUP($T82,$T91:$W105,3,FALSE)</f>
        <v>#N/A</v>
      </c>
      <c r="AC91" s="17" t="e">
        <f>VLOOKUP($T82,$T91:$W105,4,FALSE)</f>
        <v>#N/A</v>
      </c>
      <c r="AD91" s="26" t="e">
        <f>AC91-AC90</f>
        <v>#N/A</v>
      </c>
      <c r="AE91" s="16"/>
    </row>
    <row r="92" spans="1:31" ht="14.25" thickTop="1" thickBot="1">
      <c r="A92" s="47"/>
      <c r="B92" s="50"/>
      <c r="C92" s="40"/>
      <c r="D92" s="40"/>
      <c r="E92" s="40"/>
      <c r="F92" s="41"/>
      <c r="G92" s="41"/>
      <c r="H92" s="2"/>
      <c r="I92" s="51"/>
      <c r="J92" s="51"/>
      <c r="K92" s="19">
        <f>D83</f>
        <v>0</v>
      </c>
      <c r="L92" s="70">
        <f>E83</f>
        <v>0</v>
      </c>
      <c r="M92" s="3">
        <f>F83</f>
        <v>0</v>
      </c>
      <c r="N92" s="17">
        <f>G83</f>
        <v>0</v>
      </c>
      <c r="O92" s="20" t="e">
        <f>M93-M92</f>
        <v>#N/A</v>
      </c>
      <c r="P92" s="16"/>
      <c r="Q92" s="49"/>
      <c r="R92" s="50"/>
      <c r="S92" s="40"/>
      <c r="T92" s="40"/>
      <c r="U92" s="40"/>
      <c r="V92" s="41"/>
      <c r="W92" s="41"/>
      <c r="X92" s="16"/>
      <c r="Y92" s="6"/>
      <c r="Z92" s="19">
        <f>T83</f>
        <v>0</v>
      </c>
      <c r="AA92" s="70">
        <f>U83</f>
        <v>0</v>
      </c>
      <c r="AB92" s="3">
        <f>V83</f>
        <v>0</v>
      </c>
      <c r="AC92" s="17">
        <f>W83</f>
        <v>0</v>
      </c>
      <c r="AD92" s="20" t="e">
        <f>AB93-AB92</f>
        <v>#N/A</v>
      </c>
      <c r="AE92" s="16"/>
    </row>
    <row r="93" spans="1:31" ht="14.25" thickTop="1" thickBot="1">
      <c r="A93" s="47"/>
      <c r="B93" s="50"/>
      <c r="C93" s="40"/>
      <c r="D93" s="40"/>
      <c r="E93" s="40"/>
      <c r="F93" s="41"/>
      <c r="G93" s="41"/>
      <c r="H93" s="2"/>
      <c r="I93" s="51"/>
      <c r="J93" s="51"/>
      <c r="K93" s="30"/>
      <c r="L93" s="23" t="s">
        <v>20</v>
      </c>
      <c r="M93" s="3" t="e">
        <f>VLOOKUP($D83,$D91:$G105,3,FALSE)</f>
        <v>#N/A</v>
      </c>
      <c r="N93" s="17" t="e">
        <f>VLOOKUP($D83,$D91:$G105,4,FALSE)</f>
        <v>#N/A</v>
      </c>
      <c r="O93" s="26" t="e">
        <f>N93-N92</f>
        <v>#N/A</v>
      </c>
      <c r="P93" s="16"/>
      <c r="Q93" s="49"/>
      <c r="R93" s="50"/>
      <c r="S93" s="40"/>
      <c r="T93" s="40"/>
      <c r="U93" s="40"/>
      <c r="V93" s="41"/>
      <c r="W93" s="41"/>
      <c r="X93" s="16"/>
      <c r="Y93" s="2"/>
      <c r="Z93" s="30"/>
      <c r="AA93" s="23" t="s">
        <v>20</v>
      </c>
      <c r="AB93" s="3" t="e">
        <f>VLOOKUP($T83,$T91:$W105,3,FALSE)</f>
        <v>#N/A</v>
      </c>
      <c r="AC93" s="17" t="e">
        <f>VLOOKUP($T83,$T91:$W105,4,FALSE)</f>
        <v>#N/A</v>
      </c>
      <c r="AD93" s="26" t="e">
        <f>AC93-AC92</f>
        <v>#N/A</v>
      </c>
      <c r="AE93" s="16"/>
    </row>
    <row r="94" spans="1:31" ht="14.25" thickTop="1" thickBot="1">
      <c r="A94" s="47"/>
      <c r="B94" s="50"/>
      <c r="C94" s="40"/>
      <c r="D94" s="40"/>
      <c r="E94" s="40"/>
      <c r="F94" s="41"/>
      <c r="G94" s="41"/>
      <c r="H94" s="2"/>
      <c r="I94" s="51"/>
      <c r="J94" s="51"/>
      <c r="K94" s="19">
        <f>D84</f>
        <v>0</v>
      </c>
      <c r="L94" s="70">
        <f>E84</f>
        <v>0</v>
      </c>
      <c r="M94" s="3">
        <f>F84</f>
        <v>0</v>
      </c>
      <c r="N94" s="17">
        <f>G84</f>
        <v>0</v>
      </c>
      <c r="O94" s="20" t="e">
        <f>M95-M94</f>
        <v>#N/A</v>
      </c>
      <c r="P94" s="16"/>
      <c r="Q94" s="49"/>
      <c r="R94" s="50"/>
      <c r="S94" s="40"/>
      <c r="T94" s="40"/>
      <c r="U94" s="40"/>
      <c r="V94" s="41"/>
      <c r="W94" s="41"/>
      <c r="X94" s="16"/>
      <c r="Y94" s="6"/>
      <c r="Z94" s="19">
        <f>T84</f>
        <v>0</v>
      </c>
      <c r="AA94" s="70">
        <f>U84</f>
        <v>0</v>
      </c>
      <c r="AB94" s="3">
        <f>V84</f>
        <v>0</v>
      </c>
      <c r="AC94" s="17">
        <f>W84</f>
        <v>0</v>
      </c>
      <c r="AD94" s="20" t="e">
        <f>AB95-AB94</f>
        <v>#N/A</v>
      </c>
      <c r="AE94" s="16"/>
    </row>
    <row r="95" spans="1:31" ht="14.25" thickTop="1" thickBot="1">
      <c r="A95" s="47"/>
      <c r="B95" s="50"/>
      <c r="C95" s="40"/>
      <c r="D95" s="40"/>
      <c r="E95" s="40"/>
      <c r="F95" s="40"/>
      <c r="G95" s="41"/>
      <c r="H95" s="2"/>
      <c r="I95" s="51"/>
      <c r="J95" s="51"/>
      <c r="K95" s="30"/>
      <c r="L95" s="23" t="s">
        <v>20</v>
      </c>
      <c r="M95" s="3" t="e">
        <f>VLOOKUP($D84,$D91:$G105,3,FALSE)</f>
        <v>#N/A</v>
      </c>
      <c r="N95" s="17" t="e">
        <f>VLOOKUP($D84,$D91:$G105,4,FALSE)</f>
        <v>#N/A</v>
      </c>
      <c r="O95" s="26" t="e">
        <f>N95-N94</f>
        <v>#N/A</v>
      </c>
      <c r="P95" s="16"/>
      <c r="Q95" s="49"/>
      <c r="R95" s="50"/>
      <c r="S95" s="40"/>
      <c r="T95" s="40"/>
      <c r="U95" s="40"/>
      <c r="V95" s="41"/>
      <c r="W95" s="41"/>
      <c r="X95" s="16"/>
      <c r="Y95" s="2"/>
      <c r="Z95" s="30"/>
      <c r="AA95" s="23" t="s">
        <v>20</v>
      </c>
      <c r="AB95" s="3" t="e">
        <f>VLOOKUP($T84,$T91:$W105,3,FALSE)</f>
        <v>#N/A</v>
      </c>
      <c r="AC95" s="17" t="e">
        <f>VLOOKUP($T84,$T91:$W105,4,FALSE)</f>
        <v>#N/A</v>
      </c>
      <c r="AD95" s="26" t="e">
        <f>AC95-AC94</f>
        <v>#N/A</v>
      </c>
      <c r="AE95" s="16"/>
    </row>
    <row r="96" spans="1:31" ht="14.25" thickTop="1" thickBot="1">
      <c r="A96" s="47"/>
      <c r="B96" s="50"/>
      <c r="C96" s="40"/>
      <c r="D96" s="40"/>
      <c r="E96" s="40"/>
      <c r="F96" s="40"/>
      <c r="G96" s="41"/>
      <c r="H96" s="2"/>
      <c r="I96" s="51"/>
      <c r="J96" s="51"/>
      <c r="K96" s="19">
        <f>D85</f>
        <v>0</v>
      </c>
      <c r="L96" s="70">
        <f>E85</f>
        <v>0</v>
      </c>
      <c r="M96" s="3">
        <f>F85</f>
        <v>0</v>
      </c>
      <c r="N96" s="17">
        <f>G85</f>
        <v>0</v>
      </c>
      <c r="O96" s="20" t="e">
        <f>M97-M96</f>
        <v>#N/A</v>
      </c>
      <c r="P96" s="16"/>
      <c r="Q96" s="49"/>
      <c r="R96" s="50"/>
      <c r="S96" s="40"/>
      <c r="T96" s="40"/>
      <c r="U96" s="40"/>
      <c r="V96" s="41"/>
      <c r="W96" s="41"/>
      <c r="X96" s="16"/>
      <c r="Y96" s="6"/>
      <c r="Z96" s="19">
        <f>T85</f>
        <v>0</v>
      </c>
      <c r="AA96" s="70">
        <f>U85</f>
        <v>0</v>
      </c>
      <c r="AB96" s="3">
        <f>V85</f>
        <v>0</v>
      </c>
      <c r="AC96" s="17">
        <f>W85</f>
        <v>0</v>
      </c>
      <c r="AD96" s="20" t="e">
        <f>AB97-AB96</f>
        <v>#N/A</v>
      </c>
      <c r="AE96" s="16"/>
    </row>
    <row r="97" spans="1:33" ht="14.25" thickTop="1" thickBot="1">
      <c r="A97" s="47"/>
      <c r="B97" s="50"/>
      <c r="C97" s="40"/>
      <c r="D97" s="40"/>
      <c r="E97" s="40"/>
      <c r="F97" s="40"/>
      <c r="G97" s="41"/>
      <c r="H97" s="2"/>
      <c r="I97" s="51"/>
      <c r="J97" s="51"/>
      <c r="K97" s="30"/>
      <c r="L97" s="23" t="s">
        <v>20</v>
      </c>
      <c r="M97" s="3" t="e">
        <f>VLOOKUP($D85,$D91:$G105,3,FALSE)</f>
        <v>#N/A</v>
      </c>
      <c r="N97" s="17" t="e">
        <f>VLOOKUP($D85,$D91:$G105,4,FALSE)</f>
        <v>#N/A</v>
      </c>
      <c r="O97" s="26" t="e">
        <f>N97-N96</f>
        <v>#N/A</v>
      </c>
      <c r="P97" s="16"/>
      <c r="Q97" s="49"/>
      <c r="R97" s="50"/>
      <c r="S97" s="40"/>
      <c r="T97" s="40"/>
      <c r="U97" s="40"/>
      <c r="V97" s="40"/>
      <c r="W97" s="41"/>
      <c r="X97" s="16"/>
      <c r="Y97" s="2"/>
      <c r="Z97" s="30"/>
      <c r="AA97" s="23" t="s">
        <v>20</v>
      </c>
      <c r="AB97" s="3" t="e">
        <f>VLOOKUP($T85,$T91:$W105,3,FALSE)</f>
        <v>#N/A</v>
      </c>
      <c r="AC97" s="17" t="e">
        <f>VLOOKUP($T85,$T91:$W105,4,FALSE)</f>
        <v>#N/A</v>
      </c>
      <c r="AD97" s="26" t="e">
        <f>AC97-AC96</f>
        <v>#N/A</v>
      </c>
      <c r="AE97" s="16"/>
    </row>
    <row r="98" spans="1:33" ht="14.25" thickTop="1" thickBot="1">
      <c r="A98" s="47"/>
      <c r="B98" s="50"/>
      <c r="C98" s="40"/>
      <c r="D98" s="40"/>
      <c r="E98" s="40"/>
      <c r="F98" s="40"/>
      <c r="G98" s="41"/>
      <c r="H98" s="2"/>
      <c r="I98" s="51"/>
      <c r="J98" s="51"/>
      <c r="K98" s="29">
        <f>D86</f>
        <v>0</v>
      </c>
      <c r="L98" s="70">
        <f>E86</f>
        <v>0</v>
      </c>
      <c r="M98" s="3">
        <f>F86</f>
        <v>0</v>
      </c>
      <c r="N98" s="17">
        <f>G86</f>
        <v>0</v>
      </c>
      <c r="O98" s="20" t="e">
        <f>M99-M98</f>
        <v>#N/A</v>
      </c>
      <c r="P98" s="16"/>
      <c r="Q98" s="49"/>
      <c r="R98" s="50"/>
      <c r="S98" s="40"/>
      <c r="T98" s="40"/>
      <c r="U98" s="40"/>
      <c r="V98" s="40"/>
      <c r="W98" s="41"/>
      <c r="X98" s="16"/>
      <c r="Y98" s="6"/>
      <c r="Z98" s="29">
        <f>T86</f>
        <v>0</v>
      </c>
      <c r="AA98" s="70">
        <f>U86</f>
        <v>0</v>
      </c>
      <c r="AB98" s="3">
        <f>V86</f>
        <v>0</v>
      </c>
      <c r="AC98" s="17">
        <f>W86</f>
        <v>0</v>
      </c>
      <c r="AD98" s="20" t="e">
        <f>AB99-AB98</f>
        <v>#N/A</v>
      </c>
      <c r="AE98" s="16"/>
    </row>
    <row r="99" spans="1:33" ht="14.25" thickTop="1" thickBot="1">
      <c r="A99" s="47"/>
      <c r="B99" s="50"/>
      <c r="C99" s="40"/>
      <c r="D99" s="40"/>
      <c r="E99" s="40"/>
      <c r="F99" s="40"/>
      <c r="G99" s="41"/>
      <c r="H99" s="2"/>
      <c r="I99" s="51"/>
      <c r="J99" s="51"/>
      <c r="K99" s="30"/>
      <c r="L99" s="23" t="s">
        <v>20</v>
      </c>
      <c r="M99" s="3" t="e">
        <f>VLOOKUP($D86,$D91:$G105,3,FALSE)</f>
        <v>#N/A</v>
      </c>
      <c r="N99" s="17" t="e">
        <f>VLOOKUP($D86,$D91:$G105,4,FALSE)</f>
        <v>#N/A</v>
      </c>
      <c r="O99" s="26" t="e">
        <f>N99-N98</f>
        <v>#N/A</v>
      </c>
      <c r="P99" s="16"/>
      <c r="Q99" s="49"/>
      <c r="R99" s="50"/>
      <c r="S99" s="40"/>
      <c r="T99" s="40"/>
      <c r="U99" s="40"/>
      <c r="V99" s="40"/>
      <c r="W99" s="41"/>
      <c r="X99" s="16"/>
      <c r="Y99" s="2"/>
      <c r="Z99" s="30"/>
      <c r="AA99" s="23" t="s">
        <v>20</v>
      </c>
      <c r="AB99" s="3" t="e">
        <f>VLOOKUP($T86,$T91:$W105,3,FALSE)</f>
        <v>#N/A</v>
      </c>
      <c r="AC99" s="17" t="e">
        <f>VLOOKUP($T86,$T91:$W105,4,FALSE)</f>
        <v>#N/A</v>
      </c>
      <c r="AD99" s="26" t="e">
        <f>AC99-AC98</f>
        <v>#N/A</v>
      </c>
      <c r="AE99" s="16"/>
    </row>
    <row r="100" spans="1:33" ht="14.25" thickTop="1" thickBot="1">
      <c r="A100" s="47"/>
      <c r="B100" s="50"/>
      <c r="C100" s="40"/>
      <c r="D100" s="40"/>
      <c r="E100" s="40"/>
      <c r="F100" s="40"/>
      <c r="G100" s="41"/>
      <c r="H100" s="2"/>
      <c r="I100" s="51"/>
      <c r="J100" s="51"/>
      <c r="K100" s="19">
        <f>D87</f>
        <v>0</v>
      </c>
      <c r="L100" s="70">
        <f>E87</f>
        <v>0</v>
      </c>
      <c r="M100" s="3">
        <f>F87</f>
        <v>0</v>
      </c>
      <c r="N100" s="17">
        <f>G87</f>
        <v>0</v>
      </c>
      <c r="O100" s="20" t="e">
        <f>M101-M100</f>
        <v>#N/A</v>
      </c>
      <c r="P100" s="16"/>
      <c r="Q100" s="49"/>
      <c r="R100" s="50"/>
      <c r="S100" s="40"/>
      <c r="T100" s="40"/>
      <c r="U100" s="40"/>
      <c r="V100" s="40"/>
      <c r="W100" s="41"/>
      <c r="X100" s="16"/>
      <c r="Y100" s="6"/>
      <c r="Z100" s="19">
        <f>T87</f>
        <v>0</v>
      </c>
      <c r="AA100" s="70">
        <f>U87</f>
        <v>0</v>
      </c>
      <c r="AB100" s="3">
        <f>V87</f>
        <v>0</v>
      </c>
      <c r="AC100" s="17">
        <f>W87</f>
        <v>0</v>
      </c>
      <c r="AD100" s="20" t="e">
        <f>AB101-AB100</f>
        <v>#N/A</v>
      </c>
      <c r="AE100" s="16"/>
    </row>
    <row r="101" spans="1:33" ht="14.25" thickTop="1" thickBot="1">
      <c r="A101" s="47"/>
      <c r="B101" s="50"/>
      <c r="C101" s="40"/>
      <c r="D101" s="40"/>
      <c r="E101" s="40"/>
      <c r="F101" s="40"/>
      <c r="G101" s="41"/>
      <c r="H101" s="2"/>
      <c r="I101" s="51"/>
      <c r="J101" s="51"/>
      <c r="K101" s="30"/>
      <c r="L101" s="23" t="s">
        <v>20</v>
      </c>
      <c r="M101" s="3" t="e">
        <f>VLOOKUP($D87,$D91:$G105,3,FALSE)</f>
        <v>#N/A</v>
      </c>
      <c r="N101" s="17" t="e">
        <f>VLOOKUP($D87,$D91:$G105,4,FALSE)</f>
        <v>#N/A</v>
      </c>
      <c r="O101" s="26" t="e">
        <f>N101-N100</f>
        <v>#N/A</v>
      </c>
      <c r="P101" s="16"/>
      <c r="Q101" s="49"/>
      <c r="R101" s="50"/>
      <c r="S101" s="40"/>
      <c r="T101" s="40"/>
      <c r="U101" s="40"/>
      <c r="V101" s="40"/>
      <c r="W101" s="41"/>
      <c r="X101" s="16"/>
      <c r="Y101" s="2"/>
      <c r="Z101" s="30"/>
      <c r="AA101" s="23" t="s">
        <v>20</v>
      </c>
      <c r="AB101" s="3" t="e">
        <f>VLOOKUP($T87,$T91:$W105,3,FALSE)</f>
        <v>#N/A</v>
      </c>
      <c r="AC101" s="17" t="e">
        <f>VLOOKUP($T87,$T91:$W105,4,FALSE)</f>
        <v>#N/A</v>
      </c>
      <c r="AD101" s="26" t="e">
        <f>AC101-AC100</f>
        <v>#N/A</v>
      </c>
      <c r="AE101" s="16"/>
    </row>
    <row r="102" spans="1:33" ht="14.25" thickTop="1" thickBot="1">
      <c r="A102" s="47"/>
      <c r="B102" s="50"/>
      <c r="C102" s="40"/>
      <c r="D102" s="40"/>
      <c r="E102" s="40"/>
      <c r="F102" s="40"/>
      <c r="G102" s="41"/>
      <c r="H102" s="2"/>
      <c r="I102" s="51"/>
      <c r="J102" s="51"/>
      <c r="K102" s="19">
        <f>D88</f>
        <v>0</v>
      </c>
      <c r="L102" s="70">
        <f>E88</f>
        <v>0</v>
      </c>
      <c r="M102" s="3">
        <f>F88</f>
        <v>0</v>
      </c>
      <c r="N102" s="17">
        <f>G88</f>
        <v>0</v>
      </c>
      <c r="O102" s="20" t="e">
        <f>M103-M102</f>
        <v>#N/A</v>
      </c>
      <c r="P102" s="16"/>
      <c r="Q102" s="49"/>
      <c r="R102" s="50"/>
      <c r="S102" s="40"/>
      <c r="T102" s="40"/>
      <c r="U102" s="40"/>
      <c r="V102" s="40"/>
      <c r="W102" s="41"/>
      <c r="X102" s="16"/>
      <c r="Y102" s="6"/>
      <c r="Z102" s="19">
        <f>T88</f>
        <v>0</v>
      </c>
      <c r="AA102" s="70">
        <f>U88</f>
        <v>0</v>
      </c>
      <c r="AB102" s="3">
        <f>V88</f>
        <v>0</v>
      </c>
      <c r="AC102" s="17">
        <f>W88</f>
        <v>0</v>
      </c>
      <c r="AD102" s="20" t="e">
        <f>AB103-AB102</f>
        <v>#N/A</v>
      </c>
      <c r="AE102" s="16"/>
    </row>
    <row r="103" spans="1:33" ht="14.25" thickTop="1" thickBot="1">
      <c r="A103" s="47"/>
      <c r="B103" s="50"/>
      <c r="H103" s="2"/>
      <c r="I103" s="51"/>
      <c r="J103" s="51"/>
      <c r="K103" s="30"/>
      <c r="L103" s="24" t="s">
        <v>20</v>
      </c>
      <c r="M103" s="3" t="e">
        <f>VLOOKUP($D88,$D91:$G105,3,FALSE)</f>
        <v>#N/A</v>
      </c>
      <c r="N103" s="17" t="e">
        <f>VLOOKUP($D88,$D91:$G105,4,FALSE)</f>
        <v>#N/A</v>
      </c>
      <c r="O103" s="25" t="e">
        <f>N103-N102</f>
        <v>#N/A</v>
      </c>
      <c r="P103" s="38"/>
      <c r="Q103" s="49"/>
      <c r="R103" s="50"/>
      <c r="W103" s="1"/>
      <c r="X103" s="38"/>
      <c r="Y103" s="2"/>
      <c r="Z103" s="30"/>
      <c r="AA103" s="24" t="s">
        <v>20</v>
      </c>
      <c r="AB103" s="3" t="e">
        <f>VLOOKUP($T88,$T91:$W105,3,FALSE)</f>
        <v>#N/A</v>
      </c>
      <c r="AC103" s="17" t="e">
        <f>VLOOKUP($T88,$T91:$W105,4,FALSE)</f>
        <v>#N/A</v>
      </c>
      <c r="AD103" s="25" t="e">
        <f>AC103-AC102</f>
        <v>#N/A</v>
      </c>
      <c r="AE103" s="38"/>
    </row>
    <row r="104" spans="1:33" ht="13.5" thickTop="1">
      <c r="A104" s="47"/>
      <c r="B104" s="50"/>
      <c r="H104" s="2"/>
      <c r="I104" s="48"/>
      <c r="J104" s="2"/>
      <c r="K104" s="31"/>
      <c r="L104" s="6"/>
      <c r="M104" s="11"/>
      <c r="N104" s="11"/>
      <c r="O104" s="6"/>
      <c r="P104" s="38"/>
      <c r="Q104" s="49"/>
      <c r="R104" s="50"/>
      <c r="W104" s="1"/>
      <c r="X104" s="38"/>
      <c r="Y104" s="2"/>
      <c r="Z104" s="31"/>
      <c r="AA104" s="6"/>
      <c r="AB104" s="11"/>
      <c r="AC104" s="11"/>
      <c r="AD104" s="6"/>
      <c r="AE104" s="38"/>
    </row>
    <row r="105" spans="1:33" ht="13.5" thickBot="1">
      <c r="A105" s="47"/>
      <c r="B105" s="50"/>
      <c r="H105" s="2"/>
      <c r="I105" s="48"/>
      <c r="J105" s="2"/>
      <c r="K105" s="27"/>
      <c r="L105" s="2"/>
      <c r="M105" s="2"/>
      <c r="N105" s="2"/>
      <c r="O105" s="2"/>
      <c r="P105" s="38"/>
      <c r="Q105" s="49"/>
      <c r="R105" s="50"/>
      <c r="W105" s="1"/>
      <c r="X105" s="38"/>
      <c r="Y105" s="2"/>
      <c r="Z105" s="27"/>
      <c r="AA105" s="2"/>
      <c r="AB105" s="2"/>
      <c r="AC105" s="2"/>
      <c r="AD105" s="2"/>
      <c r="AE105" s="38"/>
    </row>
    <row r="106" spans="1:33" ht="13.5" thickTop="1">
      <c r="A106" s="47"/>
      <c r="B106" s="48"/>
      <c r="C106" s="32"/>
      <c r="D106" s="32" t="s">
        <v>46</v>
      </c>
      <c r="E106" s="42"/>
      <c r="F106" s="32" t="s">
        <v>47</v>
      </c>
      <c r="G106" s="33"/>
      <c r="H106" s="2"/>
      <c r="I106" s="48"/>
      <c r="J106" s="2"/>
      <c r="K106" s="27"/>
      <c r="L106" s="2"/>
      <c r="M106" s="2"/>
      <c r="N106" s="2"/>
      <c r="O106" s="2"/>
      <c r="P106" s="38"/>
      <c r="Q106" s="49"/>
      <c r="R106" s="48"/>
      <c r="S106" s="32"/>
      <c r="T106" s="32" t="s">
        <v>46</v>
      </c>
      <c r="U106" s="42"/>
      <c r="V106" s="32" t="s">
        <v>47</v>
      </c>
      <c r="W106" s="33"/>
      <c r="X106" s="38"/>
      <c r="Y106" s="2"/>
      <c r="Z106" s="27"/>
      <c r="AA106" s="2"/>
      <c r="AB106" s="2"/>
      <c r="AC106" s="2"/>
      <c r="AD106" s="2"/>
      <c r="AE106" s="38"/>
    </row>
    <row r="107" spans="1:33">
      <c r="A107" s="47"/>
      <c r="B107" s="48"/>
      <c r="C107" s="64" t="s">
        <v>41</v>
      </c>
      <c r="D107" s="64"/>
      <c r="E107" s="65"/>
      <c r="F107" s="65"/>
      <c r="G107" s="66"/>
      <c r="H107" s="65"/>
      <c r="I107" s="65"/>
      <c r="J107" s="65"/>
      <c r="K107" s="67"/>
      <c r="L107" s="65"/>
      <c r="M107" s="65"/>
      <c r="N107" s="65"/>
      <c r="O107" s="65"/>
      <c r="P107" s="4"/>
      <c r="Q107" s="49"/>
      <c r="R107" s="48"/>
      <c r="S107" s="61" t="s">
        <v>41</v>
      </c>
      <c r="T107" s="61"/>
      <c r="U107" s="60"/>
      <c r="V107" s="60"/>
      <c r="W107" s="62"/>
      <c r="X107" s="60"/>
      <c r="Y107" s="60"/>
      <c r="Z107" s="63"/>
      <c r="AA107" s="60"/>
      <c r="AB107" s="60"/>
      <c r="AC107" s="60"/>
      <c r="AD107" s="60"/>
      <c r="AE107" s="4"/>
    </row>
    <row r="108" spans="1:33" ht="13.5" thickBot="1">
      <c r="A108" s="47"/>
      <c r="B108" s="48"/>
      <c r="C108" s="8" t="s">
        <v>36</v>
      </c>
      <c r="D108" s="8" t="s">
        <v>18</v>
      </c>
      <c r="E108" s="8" t="s">
        <v>14</v>
      </c>
      <c r="F108" s="8" t="s">
        <v>15</v>
      </c>
      <c r="G108" s="8" t="s">
        <v>16</v>
      </c>
      <c r="H108" s="2"/>
      <c r="I108" s="2"/>
      <c r="J108" s="2"/>
      <c r="K108" s="28" t="s">
        <v>17</v>
      </c>
      <c r="L108" s="9" t="s">
        <v>14</v>
      </c>
      <c r="M108" s="9" t="s">
        <v>15</v>
      </c>
      <c r="N108" s="9" t="s">
        <v>16</v>
      </c>
      <c r="O108" s="9" t="s">
        <v>19</v>
      </c>
      <c r="P108" s="4"/>
      <c r="Q108" s="49"/>
      <c r="R108" s="48"/>
      <c r="S108" s="8" t="s">
        <v>36</v>
      </c>
      <c r="T108" s="8" t="s">
        <v>18</v>
      </c>
      <c r="U108" s="8" t="s">
        <v>14</v>
      </c>
      <c r="V108" s="8" t="s">
        <v>15</v>
      </c>
      <c r="W108" s="8" t="s">
        <v>16</v>
      </c>
      <c r="X108" s="4"/>
      <c r="Y108" s="2"/>
      <c r="Z108" s="28" t="s">
        <v>17</v>
      </c>
      <c r="AA108" s="9" t="s">
        <v>14</v>
      </c>
      <c r="AB108" s="9" t="s">
        <v>15</v>
      </c>
      <c r="AC108" s="9" t="s">
        <v>16</v>
      </c>
      <c r="AD108" s="9" t="s">
        <v>19</v>
      </c>
      <c r="AE108" s="4"/>
    </row>
    <row r="109" spans="1:33" ht="14.25" thickTop="1" thickBot="1">
      <c r="A109" s="47"/>
      <c r="B109" s="50"/>
      <c r="C109" s="40"/>
      <c r="D109" s="40"/>
      <c r="E109" s="40"/>
      <c r="F109" s="41"/>
      <c r="G109" s="41"/>
      <c r="H109" s="18">
        <v>922689</v>
      </c>
      <c r="I109" s="51"/>
      <c r="J109" s="51"/>
      <c r="K109" s="29">
        <f>D109</f>
        <v>0</v>
      </c>
      <c r="L109" s="70">
        <f>E109</f>
        <v>0</v>
      </c>
      <c r="M109" s="17">
        <f>F109</f>
        <v>0</v>
      </c>
      <c r="N109" s="17">
        <f>G109</f>
        <v>0</v>
      </c>
      <c r="O109" s="20" t="e">
        <f>M110-M109</f>
        <v>#N/A</v>
      </c>
      <c r="P109" s="16"/>
      <c r="Q109" s="49"/>
      <c r="R109" s="50"/>
      <c r="S109" s="40"/>
      <c r="T109" s="40"/>
      <c r="U109" s="40"/>
      <c r="V109" s="41"/>
      <c r="W109" s="41"/>
      <c r="X109" s="16"/>
      <c r="Y109" s="6"/>
      <c r="Z109" s="29">
        <f>T109</f>
        <v>0</v>
      </c>
      <c r="AA109" s="70">
        <f>U109</f>
        <v>0</v>
      </c>
      <c r="AB109" s="17">
        <f>V109</f>
        <v>0</v>
      </c>
      <c r="AC109" s="17">
        <f>W109</f>
        <v>0</v>
      </c>
      <c r="AD109" s="20" t="e">
        <f>AB110-AB109</f>
        <v>#N/A</v>
      </c>
      <c r="AE109" s="16"/>
    </row>
    <row r="110" spans="1:33" ht="14.25" thickTop="1" thickBot="1">
      <c r="A110" s="47"/>
      <c r="B110" s="50"/>
      <c r="C110" s="40"/>
      <c r="D110" s="40"/>
      <c r="E110" s="40"/>
      <c r="F110" s="41"/>
      <c r="G110" s="41"/>
      <c r="H110" s="18">
        <v>896047</v>
      </c>
      <c r="I110" s="51"/>
      <c r="J110" s="51"/>
      <c r="K110" s="30"/>
      <c r="L110" s="23" t="s">
        <v>20</v>
      </c>
      <c r="M110" s="3" t="e">
        <f>VLOOKUP($D109,$D126:$G140,3,FALSE)</f>
        <v>#N/A</v>
      </c>
      <c r="N110" s="17" t="e">
        <f>VLOOKUP($D$4,$D126:$G140,4,FALSE)</f>
        <v>#N/A</v>
      </c>
      <c r="O110" s="26" t="e">
        <f>N110-N109</f>
        <v>#N/A</v>
      </c>
      <c r="P110" s="16"/>
      <c r="Q110" s="49"/>
      <c r="R110" s="50"/>
      <c r="S110" s="40"/>
      <c r="T110" s="40"/>
      <c r="U110" s="40"/>
      <c r="V110" s="41"/>
      <c r="W110" s="41"/>
      <c r="X110" s="16"/>
      <c r="Y110" s="2"/>
      <c r="Z110" s="30"/>
      <c r="AA110" s="23" t="s">
        <v>20</v>
      </c>
      <c r="AB110" s="3" t="e">
        <f>VLOOKUP($T109,$T126:$W140,3,FALSE)</f>
        <v>#N/A</v>
      </c>
      <c r="AC110" s="17" t="e">
        <f>VLOOKUP($T109,$T126:$W140,4,FALSE)</f>
        <v>#N/A</v>
      </c>
      <c r="AD110" s="26" t="e">
        <f>AC110-AC109</f>
        <v>#N/A</v>
      </c>
      <c r="AE110" s="16"/>
    </row>
    <row r="111" spans="1:33" ht="14.25" thickTop="1" thickBot="1">
      <c r="A111" s="47"/>
      <c r="B111" s="50"/>
      <c r="C111" s="40"/>
      <c r="D111" s="40"/>
      <c r="E111" s="40"/>
      <c r="F111" s="41"/>
      <c r="G111" s="41"/>
      <c r="H111" s="18">
        <v>588467</v>
      </c>
      <c r="I111" s="51"/>
      <c r="J111" s="51"/>
      <c r="K111" s="19">
        <f>D110</f>
        <v>0</v>
      </c>
      <c r="L111" s="70">
        <f>E110</f>
        <v>0</v>
      </c>
      <c r="M111" s="3">
        <f>F110</f>
        <v>0</v>
      </c>
      <c r="N111" s="17">
        <f>G110</f>
        <v>0</v>
      </c>
      <c r="O111" s="20" t="e">
        <f>M112-M111</f>
        <v>#N/A</v>
      </c>
      <c r="P111" s="16"/>
      <c r="Q111" s="49"/>
      <c r="R111" s="50"/>
      <c r="S111" s="40"/>
      <c r="T111" s="40"/>
      <c r="U111" s="40"/>
      <c r="V111" s="41"/>
      <c r="W111" s="41"/>
      <c r="X111" s="16"/>
      <c r="Y111" s="6"/>
      <c r="Z111" s="19">
        <f>T110</f>
        <v>0</v>
      </c>
      <c r="AA111" s="70">
        <f>U110</f>
        <v>0</v>
      </c>
      <c r="AB111" s="3">
        <f>V110</f>
        <v>0</v>
      </c>
      <c r="AC111" s="17">
        <f>W110</f>
        <v>0</v>
      </c>
      <c r="AD111" s="20" t="e">
        <f>AB112-AB111</f>
        <v>#N/A</v>
      </c>
      <c r="AE111" s="16"/>
      <c r="AG111" s="35"/>
    </row>
    <row r="112" spans="1:33" ht="14.25" thickTop="1" thickBot="1">
      <c r="A112" s="47"/>
      <c r="B112" s="50"/>
      <c r="C112" s="40"/>
      <c r="D112" s="40"/>
      <c r="E112" s="40"/>
      <c r="F112" s="40"/>
      <c r="G112" s="41"/>
      <c r="H112" s="18">
        <v>600459</v>
      </c>
      <c r="I112" s="51"/>
      <c r="J112" s="51"/>
      <c r="K112" s="30"/>
      <c r="L112" s="23" t="s">
        <v>20</v>
      </c>
      <c r="M112" s="3" t="e">
        <f>VLOOKUP($D110,$D126:$G140,3,FALSE)</f>
        <v>#N/A</v>
      </c>
      <c r="N112" s="17" t="e">
        <f>VLOOKUP($D$5,$D126:$G140,4,FALSE)</f>
        <v>#N/A</v>
      </c>
      <c r="O112" s="26" t="e">
        <f>N112-N111</f>
        <v>#N/A</v>
      </c>
      <c r="P112" s="16"/>
      <c r="Q112" s="49"/>
      <c r="R112" s="50"/>
      <c r="S112" s="40"/>
      <c r="T112" s="40"/>
      <c r="U112" s="40"/>
      <c r="V112" s="41"/>
      <c r="W112" s="41"/>
      <c r="X112" s="16"/>
      <c r="Y112" s="2"/>
      <c r="Z112" s="30"/>
      <c r="AA112" s="23" t="s">
        <v>20</v>
      </c>
      <c r="AB112" s="3" t="e">
        <f>VLOOKUP($T110,$T126:$W140,3,FALSE)</f>
        <v>#N/A</v>
      </c>
      <c r="AC112" s="17" t="e">
        <f>VLOOKUP($T110,$T126:$W140,4,FALSE)</f>
        <v>#N/A</v>
      </c>
      <c r="AD112" s="26" t="e">
        <f>AC112-AC111</f>
        <v>#N/A</v>
      </c>
      <c r="AE112" s="16"/>
    </row>
    <row r="113" spans="1:31" ht="14.25" thickTop="1" thickBot="1">
      <c r="A113" s="47"/>
      <c r="B113" s="50"/>
      <c r="C113" s="40"/>
      <c r="D113" s="40"/>
      <c r="E113" s="40"/>
      <c r="F113" s="40"/>
      <c r="G113" s="41"/>
      <c r="H113" s="18">
        <v>432716</v>
      </c>
      <c r="I113" s="51"/>
      <c r="J113" s="51"/>
      <c r="K113" s="19">
        <f>D111</f>
        <v>0</v>
      </c>
      <c r="L113" s="70">
        <f>E111</f>
        <v>0</v>
      </c>
      <c r="M113" s="3">
        <f>F111</f>
        <v>0</v>
      </c>
      <c r="N113" s="17">
        <f>G111</f>
        <v>0</v>
      </c>
      <c r="O113" s="20" t="e">
        <f>M114-M113</f>
        <v>#N/A</v>
      </c>
      <c r="P113" s="16"/>
      <c r="Q113" s="49"/>
      <c r="R113" s="50"/>
      <c r="S113" s="40"/>
      <c r="T113" s="40"/>
      <c r="U113" s="40"/>
      <c r="V113" s="41"/>
      <c r="W113" s="41"/>
      <c r="X113" s="16"/>
      <c r="Y113" s="6"/>
      <c r="Z113" s="19">
        <f>T111</f>
        <v>0</v>
      </c>
      <c r="AA113" s="70">
        <f>U111</f>
        <v>0</v>
      </c>
      <c r="AB113" s="3">
        <f>V111</f>
        <v>0</v>
      </c>
      <c r="AC113" s="17">
        <f>W111</f>
        <v>0</v>
      </c>
      <c r="AD113" s="20" t="e">
        <f>AB114-AB113</f>
        <v>#N/A</v>
      </c>
      <c r="AE113" s="16"/>
    </row>
    <row r="114" spans="1:31" ht="14.25" thickTop="1" thickBot="1">
      <c r="A114" s="47"/>
      <c r="B114" s="50"/>
      <c r="C114" s="40"/>
      <c r="D114" s="40"/>
      <c r="E114" s="40"/>
      <c r="F114" s="40"/>
      <c r="G114" s="41"/>
      <c r="H114" s="18">
        <v>149538</v>
      </c>
      <c r="I114" s="51"/>
      <c r="J114" s="51"/>
      <c r="K114" s="30"/>
      <c r="L114" s="23" t="s">
        <v>20</v>
      </c>
      <c r="M114" s="3" t="e">
        <f>VLOOKUP($D111,$D126:$G140,3,FALSE)</f>
        <v>#N/A</v>
      </c>
      <c r="N114" s="17" t="e">
        <f>VLOOKUP($D111,$D126:$G140,4,FALSE)</f>
        <v>#N/A</v>
      </c>
      <c r="O114" s="26" t="e">
        <f>N114-N113</f>
        <v>#N/A</v>
      </c>
      <c r="P114" s="16"/>
      <c r="Q114" s="49"/>
      <c r="R114" s="50"/>
      <c r="S114" s="40"/>
      <c r="T114" s="40"/>
      <c r="U114" s="40"/>
      <c r="V114" s="41"/>
      <c r="W114" s="41"/>
      <c r="X114" s="16"/>
      <c r="Y114" s="2"/>
      <c r="Z114" s="30"/>
      <c r="AA114" s="23" t="s">
        <v>20</v>
      </c>
      <c r="AB114" s="3" t="e">
        <f>VLOOKUP($T111,$T126:$W140,3,FALSE)</f>
        <v>#N/A</v>
      </c>
      <c r="AC114" s="17" t="e">
        <f>VLOOKUP($T111,$T126:$W140,4,FALSE)</f>
        <v>#N/A</v>
      </c>
      <c r="AD114" s="26" t="e">
        <f>AC114-AC113</f>
        <v>#N/A</v>
      </c>
      <c r="AE114" s="16"/>
    </row>
    <row r="115" spans="1:31" ht="14.25" thickTop="1" thickBot="1">
      <c r="A115" s="47"/>
      <c r="B115" s="50"/>
      <c r="C115" s="40"/>
      <c r="D115" s="40"/>
      <c r="E115" s="40"/>
      <c r="F115" s="40"/>
      <c r="G115" s="41"/>
      <c r="H115" s="18">
        <v>101933</v>
      </c>
      <c r="I115" s="51"/>
      <c r="J115" s="51"/>
      <c r="K115" s="19">
        <f>D112</f>
        <v>0</v>
      </c>
      <c r="L115" s="70">
        <f>E112</f>
        <v>0</v>
      </c>
      <c r="M115" s="3">
        <f>F112</f>
        <v>0</v>
      </c>
      <c r="N115" s="17">
        <f>G112</f>
        <v>0</v>
      </c>
      <c r="O115" s="20" t="e">
        <f>M116-M115</f>
        <v>#N/A</v>
      </c>
      <c r="P115" s="16"/>
      <c r="Q115" s="49"/>
      <c r="R115" s="50"/>
      <c r="S115" s="40"/>
      <c r="T115" s="40"/>
      <c r="U115" s="40"/>
      <c r="V115" s="40"/>
      <c r="W115" s="41"/>
      <c r="X115" s="16"/>
      <c r="Y115" s="6"/>
      <c r="Z115" s="19">
        <f>T112</f>
        <v>0</v>
      </c>
      <c r="AA115" s="70">
        <f>U112</f>
        <v>0</v>
      </c>
      <c r="AB115" s="3">
        <f>V112</f>
        <v>0</v>
      </c>
      <c r="AC115" s="17">
        <f>W112</f>
        <v>0</v>
      </c>
      <c r="AD115" s="20" t="e">
        <f>AB116-AB115</f>
        <v>#N/A</v>
      </c>
      <c r="AE115" s="16"/>
    </row>
    <row r="116" spans="1:31" ht="14.25" thickTop="1" thickBot="1">
      <c r="A116" s="47"/>
      <c r="B116" s="50"/>
      <c r="C116" s="40"/>
      <c r="D116" s="40"/>
      <c r="E116" s="40"/>
      <c r="F116" s="40"/>
      <c r="G116" s="41"/>
      <c r="H116" s="18">
        <v>6850</v>
      </c>
      <c r="I116" s="51"/>
      <c r="J116" s="51"/>
      <c r="K116" s="30"/>
      <c r="L116" s="23" t="s">
        <v>20</v>
      </c>
      <c r="M116" s="3" t="e">
        <f>VLOOKUP($D112,$D126:$G140,3,FALSE)</f>
        <v>#N/A</v>
      </c>
      <c r="N116" s="17" t="e">
        <f>VLOOKUP($D112,$D126:$G140,4,FALSE)</f>
        <v>#N/A</v>
      </c>
      <c r="O116" s="26" t="e">
        <f>N116-N115</f>
        <v>#N/A</v>
      </c>
      <c r="P116" s="16"/>
      <c r="Q116" s="49"/>
      <c r="R116" s="50"/>
      <c r="S116" s="40"/>
      <c r="T116" s="40"/>
      <c r="U116" s="40"/>
      <c r="V116" s="40"/>
      <c r="W116" s="41"/>
      <c r="X116" s="16"/>
      <c r="Y116" s="2"/>
      <c r="Z116" s="30"/>
      <c r="AA116" s="23" t="s">
        <v>20</v>
      </c>
      <c r="AB116" s="3" t="e">
        <f>VLOOKUP($T112,$T126:$W140,3,FALSE)</f>
        <v>#N/A</v>
      </c>
      <c r="AC116" s="17" t="e">
        <f>VLOOKUP($T112,$T126:$W140,4,FALSE)</f>
        <v>#N/A</v>
      </c>
      <c r="AD116" s="26" t="e">
        <f>AC116-AC115</f>
        <v>#N/A</v>
      </c>
      <c r="AE116" s="16"/>
    </row>
    <row r="117" spans="1:31" ht="14.25" thickTop="1" thickBot="1">
      <c r="A117" s="47"/>
      <c r="B117" s="50"/>
      <c r="C117" s="40"/>
      <c r="D117" s="40"/>
      <c r="E117" s="40"/>
      <c r="F117" s="40"/>
      <c r="G117" s="41"/>
      <c r="H117" s="18">
        <v>6165</v>
      </c>
      <c r="I117" s="51"/>
      <c r="J117" s="51"/>
      <c r="K117" s="29">
        <f>D113</f>
        <v>0</v>
      </c>
      <c r="L117" s="70">
        <f>E113</f>
        <v>0</v>
      </c>
      <c r="M117" s="3">
        <f>F113</f>
        <v>0</v>
      </c>
      <c r="N117" s="17">
        <f>G113</f>
        <v>0</v>
      </c>
      <c r="O117" s="20" t="e">
        <f>M118-M117</f>
        <v>#N/A</v>
      </c>
      <c r="P117" s="16"/>
      <c r="Q117" s="49"/>
      <c r="R117" s="50"/>
      <c r="S117" s="40"/>
      <c r="T117" s="40"/>
      <c r="U117" s="40"/>
      <c r="V117" s="40"/>
      <c r="W117" s="41"/>
      <c r="X117" s="16"/>
      <c r="Y117" s="6"/>
      <c r="Z117" s="29">
        <f>T113</f>
        <v>0</v>
      </c>
      <c r="AA117" s="70">
        <f>U113</f>
        <v>0</v>
      </c>
      <c r="AB117" s="3">
        <f>V113</f>
        <v>0</v>
      </c>
      <c r="AC117" s="17">
        <f>W113</f>
        <v>0</v>
      </c>
      <c r="AD117" s="20" t="e">
        <f>AB118-AB117</f>
        <v>#N/A</v>
      </c>
      <c r="AE117" s="16"/>
    </row>
    <row r="118" spans="1:31" ht="14.25" thickTop="1" thickBot="1">
      <c r="A118" s="47"/>
      <c r="B118" s="50"/>
      <c r="C118" s="40"/>
      <c r="D118" s="40"/>
      <c r="E118" s="40"/>
      <c r="F118" s="40"/>
      <c r="G118" s="41"/>
      <c r="H118" s="18">
        <v>6010</v>
      </c>
      <c r="I118" s="51"/>
      <c r="J118" s="51"/>
      <c r="K118" s="30"/>
      <c r="L118" s="23" t="s">
        <v>20</v>
      </c>
      <c r="M118" s="3" t="e">
        <f>VLOOKUP($D113,$D126:$G140,3,FALSE)</f>
        <v>#N/A</v>
      </c>
      <c r="N118" s="17" t="e">
        <f>VLOOKUP($D113,$D126:$G140,4,FALSE)</f>
        <v>#N/A</v>
      </c>
      <c r="O118" s="26" t="e">
        <f>N118-N117</f>
        <v>#N/A</v>
      </c>
      <c r="P118" s="16"/>
      <c r="Q118" s="49"/>
      <c r="R118" s="50"/>
      <c r="S118" s="40"/>
      <c r="T118" s="40"/>
      <c r="U118" s="40"/>
      <c r="V118" s="40"/>
      <c r="W118" s="41"/>
      <c r="X118" s="16"/>
      <c r="Y118" s="2"/>
      <c r="Z118" s="30"/>
      <c r="AA118" s="23" t="s">
        <v>20</v>
      </c>
      <c r="AB118" s="3" t="e">
        <f>VLOOKUP($T113,$T126:$W140,3,FALSE)</f>
        <v>#N/A</v>
      </c>
      <c r="AC118" s="17" t="e">
        <f>VLOOKUP($T113,$T126:$W140,4,FALSE)</f>
        <v>#N/A</v>
      </c>
      <c r="AD118" s="26" t="e">
        <f>AC118-AC117</f>
        <v>#N/A</v>
      </c>
      <c r="AE118" s="16"/>
    </row>
    <row r="119" spans="1:31" ht="14.25" thickTop="1" thickBot="1">
      <c r="A119" s="47"/>
      <c r="B119" s="50"/>
      <c r="C119" s="40"/>
      <c r="D119" s="40"/>
      <c r="E119" s="40"/>
      <c r="F119" s="40"/>
      <c r="G119" s="41"/>
      <c r="H119" s="2"/>
      <c r="I119" s="51"/>
      <c r="J119" s="51"/>
      <c r="K119" s="19">
        <f>D114</f>
        <v>0</v>
      </c>
      <c r="L119" s="70">
        <f>E114</f>
        <v>0</v>
      </c>
      <c r="M119" s="3">
        <f>F114</f>
        <v>0</v>
      </c>
      <c r="N119" s="17">
        <f>G114</f>
        <v>0</v>
      </c>
      <c r="O119" s="20" t="e">
        <f>M120-M119</f>
        <v>#N/A</v>
      </c>
      <c r="P119" s="16"/>
      <c r="Q119" s="49"/>
      <c r="R119" s="50"/>
      <c r="S119" s="40"/>
      <c r="T119" s="40"/>
      <c r="U119" s="40"/>
      <c r="V119" s="40"/>
      <c r="W119" s="41"/>
      <c r="X119" s="16"/>
      <c r="Y119" s="6"/>
      <c r="Z119" s="19">
        <f>T114</f>
        <v>0</v>
      </c>
      <c r="AA119" s="70">
        <f>U114</f>
        <v>0</v>
      </c>
      <c r="AB119" s="3">
        <f>V114</f>
        <v>0</v>
      </c>
      <c r="AC119" s="17">
        <f>W114</f>
        <v>0</v>
      </c>
      <c r="AD119" s="20" t="e">
        <f>AB120-AB119</f>
        <v>#N/A</v>
      </c>
      <c r="AE119" s="16"/>
    </row>
    <row r="120" spans="1:31" ht="14.25" thickTop="1" thickBot="1">
      <c r="A120" s="47"/>
      <c r="B120" s="50"/>
      <c r="C120" s="40"/>
      <c r="D120" s="40"/>
      <c r="E120" s="40"/>
      <c r="F120" s="40"/>
      <c r="G120" s="41"/>
      <c r="H120" s="2"/>
      <c r="I120" s="51"/>
      <c r="J120" s="51"/>
      <c r="K120" s="30"/>
      <c r="L120" s="23" t="s">
        <v>20</v>
      </c>
      <c r="M120" s="3" t="e">
        <f>VLOOKUP($D114,$D126:$G140,3,FALSE)</f>
        <v>#N/A</v>
      </c>
      <c r="N120" s="17" t="e">
        <f>VLOOKUP($D114,$D126:$G140,4,FALSE)</f>
        <v>#N/A</v>
      </c>
      <c r="O120" s="26" t="e">
        <f>N120-N119</f>
        <v>#N/A</v>
      </c>
      <c r="P120" s="16"/>
      <c r="Q120" s="49"/>
      <c r="R120" s="50"/>
      <c r="S120" s="40"/>
      <c r="T120" s="40"/>
      <c r="U120" s="40"/>
      <c r="V120" s="40"/>
      <c r="W120" s="41"/>
      <c r="X120" s="16"/>
      <c r="Y120" s="2"/>
      <c r="Z120" s="30"/>
      <c r="AA120" s="23" t="s">
        <v>20</v>
      </c>
      <c r="AB120" s="3" t="e">
        <f>VLOOKUP($T114,$T126:$W140,3,FALSE)</f>
        <v>#N/A</v>
      </c>
      <c r="AC120" s="17" t="e">
        <f>VLOOKUP($T114,$T126:$W140,4,FALSE)</f>
        <v>#N/A</v>
      </c>
      <c r="AD120" s="26" t="e">
        <f>AC120-AC119</f>
        <v>#N/A</v>
      </c>
      <c r="AE120" s="16"/>
    </row>
    <row r="121" spans="1:31" ht="14.25" thickTop="1" thickBot="1">
      <c r="A121" s="47"/>
      <c r="B121" s="50"/>
      <c r="H121" s="2"/>
      <c r="I121" s="51"/>
      <c r="J121" s="51"/>
      <c r="K121" s="19">
        <f>D115</f>
        <v>0</v>
      </c>
      <c r="L121" s="70">
        <f>E115</f>
        <v>0</v>
      </c>
      <c r="M121" s="3">
        <f>F115</f>
        <v>0</v>
      </c>
      <c r="N121" s="17">
        <f>G115</f>
        <v>0</v>
      </c>
      <c r="O121" s="20" t="e">
        <f>M122-M121</f>
        <v>#N/A</v>
      </c>
      <c r="P121" s="16"/>
      <c r="Q121" s="49"/>
      <c r="R121" s="50"/>
      <c r="W121" s="1"/>
      <c r="X121" s="16"/>
      <c r="Y121" s="6"/>
      <c r="Z121" s="19">
        <f>T115</f>
        <v>0</v>
      </c>
      <c r="AA121" s="70">
        <f>U115</f>
        <v>0</v>
      </c>
      <c r="AB121" s="3">
        <f>V115</f>
        <v>0</v>
      </c>
      <c r="AC121" s="17">
        <f>W115</f>
        <v>0</v>
      </c>
      <c r="AD121" s="20" t="e">
        <f>AB122-AB121</f>
        <v>#N/A</v>
      </c>
      <c r="AE121" s="16"/>
    </row>
    <row r="122" spans="1:31" ht="14.25" thickTop="1" thickBot="1">
      <c r="A122" s="47"/>
      <c r="B122" s="50"/>
      <c r="H122" s="2"/>
      <c r="I122" s="51"/>
      <c r="J122" s="51"/>
      <c r="K122" s="30"/>
      <c r="L122" s="23" t="s">
        <v>20</v>
      </c>
      <c r="M122" s="3" t="e">
        <f>VLOOKUP($D115,$D126:$G140,3,FALSE)</f>
        <v>#N/A</v>
      </c>
      <c r="N122" s="17" t="e">
        <f>VLOOKUP($D115,$D126:$G140,4,FALSE)</f>
        <v>#N/A</v>
      </c>
      <c r="O122" s="26" t="e">
        <f>N122-N121</f>
        <v>#N/A</v>
      </c>
      <c r="P122" s="16"/>
      <c r="Q122" s="49"/>
      <c r="R122" s="50"/>
      <c r="W122" s="1"/>
      <c r="X122" s="16"/>
      <c r="Y122" s="2"/>
      <c r="Z122" s="30"/>
      <c r="AA122" s="23" t="s">
        <v>20</v>
      </c>
      <c r="AB122" s="3" t="e">
        <f>VLOOKUP($T115,$T126:$W140,3,FALSE)</f>
        <v>#N/A</v>
      </c>
      <c r="AC122" s="17" t="e">
        <f>VLOOKUP($T115,$T126:$W140,4,FALSE)</f>
        <v>#N/A</v>
      </c>
      <c r="AD122" s="26" t="e">
        <f>AC122-AC121</f>
        <v>#N/A</v>
      </c>
      <c r="AE122" s="16"/>
    </row>
    <row r="123" spans="1:31" ht="14.25" thickTop="1" thickBot="1">
      <c r="A123" s="47"/>
      <c r="B123" s="50"/>
      <c r="H123" s="2"/>
      <c r="I123" s="51"/>
      <c r="J123" s="51"/>
      <c r="K123" s="19">
        <f>D116</f>
        <v>0</v>
      </c>
      <c r="L123" s="70">
        <f>E116</f>
        <v>0</v>
      </c>
      <c r="M123" s="21">
        <f>F116</f>
        <v>0</v>
      </c>
      <c r="N123" s="22">
        <f>G116</f>
        <v>0</v>
      </c>
      <c r="O123" s="20" t="e">
        <f>M124-M123</f>
        <v>#N/A</v>
      </c>
      <c r="P123" s="16"/>
      <c r="Q123" s="49"/>
      <c r="R123" s="50"/>
      <c r="W123" s="1"/>
      <c r="X123" s="16"/>
      <c r="Y123" s="6"/>
      <c r="Z123" s="19">
        <f>T116</f>
        <v>0</v>
      </c>
      <c r="AA123" s="70">
        <f>U116</f>
        <v>0</v>
      </c>
      <c r="AB123" s="21">
        <f>V116</f>
        <v>0</v>
      </c>
      <c r="AC123" s="22">
        <f>W116</f>
        <v>0</v>
      </c>
      <c r="AD123" s="20" t="e">
        <f>AB124-AB123</f>
        <v>#N/A</v>
      </c>
      <c r="AE123" s="16"/>
    </row>
    <row r="124" spans="1:31" ht="14.25" thickTop="1" thickBot="1">
      <c r="A124" s="47"/>
      <c r="B124" s="48"/>
      <c r="C124" s="32"/>
      <c r="D124" s="32" t="s">
        <v>46</v>
      </c>
      <c r="E124" s="42"/>
      <c r="F124" s="32" t="s">
        <v>47</v>
      </c>
      <c r="G124" s="33"/>
      <c r="H124" s="2"/>
      <c r="I124" s="51"/>
      <c r="J124" s="51"/>
      <c r="K124" s="30"/>
      <c r="L124" s="23" t="s">
        <v>20</v>
      </c>
      <c r="M124" s="3" t="e">
        <f>VLOOKUP($D116,$D126:$G140,3,FALSE)</f>
        <v>#N/A</v>
      </c>
      <c r="N124" s="17" t="e">
        <f>VLOOKUP($D116,$D126:$G140,4,FALSE)</f>
        <v>#N/A</v>
      </c>
      <c r="O124" s="26" t="e">
        <f>N124-N123</f>
        <v>#N/A</v>
      </c>
      <c r="P124" s="16"/>
      <c r="Q124" s="49"/>
      <c r="R124" s="48"/>
      <c r="S124" s="32"/>
      <c r="T124" s="32" t="s">
        <v>46</v>
      </c>
      <c r="U124" s="42"/>
      <c r="V124" s="32" t="s">
        <v>47</v>
      </c>
      <c r="W124" s="33"/>
      <c r="X124" s="16"/>
      <c r="Y124" s="2"/>
      <c r="Z124" s="30"/>
      <c r="AA124" s="23" t="s">
        <v>20</v>
      </c>
      <c r="AB124" s="3" t="e">
        <f>VLOOKUP($T116,$T126:$W140,3,FALSE)</f>
        <v>#N/A</v>
      </c>
      <c r="AC124" s="17" t="e">
        <f>VLOOKUP($T116,$T126:$W140,4,FALSE)</f>
        <v>#N/A</v>
      </c>
      <c r="AD124" s="26" t="e">
        <f>AC124-AC123</f>
        <v>#N/A</v>
      </c>
      <c r="AE124" s="16"/>
    </row>
    <row r="125" spans="1:31" ht="14.25" thickTop="1" thickBot="1">
      <c r="A125" s="47"/>
      <c r="B125" s="51"/>
      <c r="C125" s="8" t="s">
        <v>36</v>
      </c>
      <c r="D125" s="8" t="s">
        <v>18</v>
      </c>
      <c r="E125" s="8" t="s">
        <v>14</v>
      </c>
      <c r="F125" s="8" t="s">
        <v>15</v>
      </c>
      <c r="G125" s="8" t="s">
        <v>16</v>
      </c>
      <c r="H125" s="2"/>
      <c r="I125" s="51"/>
      <c r="J125" s="51"/>
      <c r="K125" s="29">
        <f>D117</f>
        <v>0</v>
      </c>
      <c r="L125" s="70">
        <f>E117</f>
        <v>0</v>
      </c>
      <c r="M125" s="3">
        <f>F117</f>
        <v>0</v>
      </c>
      <c r="N125" s="17">
        <f>G117</f>
        <v>0</v>
      </c>
      <c r="O125" s="20" t="e">
        <f>M126-M125</f>
        <v>#N/A</v>
      </c>
      <c r="P125" s="16"/>
      <c r="Q125" s="49"/>
      <c r="R125" s="51"/>
      <c r="S125" s="8" t="s">
        <v>36</v>
      </c>
      <c r="T125" s="8" t="s">
        <v>18</v>
      </c>
      <c r="U125" s="8" t="s">
        <v>14</v>
      </c>
      <c r="V125" s="8" t="s">
        <v>15</v>
      </c>
      <c r="W125" s="8" t="s">
        <v>16</v>
      </c>
      <c r="X125" s="16"/>
      <c r="Y125" s="6"/>
      <c r="Z125" s="29">
        <f>T117</f>
        <v>0</v>
      </c>
      <c r="AA125" s="70">
        <f>U117</f>
        <v>0</v>
      </c>
      <c r="AB125" s="3">
        <f>V117</f>
        <v>0</v>
      </c>
      <c r="AC125" s="17">
        <f>W117</f>
        <v>0</v>
      </c>
      <c r="AD125" s="20" t="e">
        <f>AB126-AB125</f>
        <v>#N/A</v>
      </c>
      <c r="AE125" s="16"/>
    </row>
    <row r="126" spans="1:31" ht="14.25" thickTop="1" thickBot="1">
      <c r="A126" s="47"/>
      <c r="B126" s="50"/>
      <c r="C126" s="40"/>
      <c r="D126" s="40"/>
      <c r="E126" s="40"/>
      <c r="F126" s="41"/>
      <c r="G126" s="41"/>
      <c r="H126" s="2"/>
      <c r="I126" s="51"/>
      <c r="J126" s="51"/>
      <c r="K126" s="30"/>
      <c r="L126" s="23" t="s">
        <v>20</v>
      </c>
      <c r="M126" s="3" t="e">
        <f>VLOOKUP($D117,$D126:$G140,3,FALSE)</f>
        <v>#N/A</v>
      </c>
      <c r="N126" s="17" t="e">
        <f>VLOOKUP($D117,$D126:$G140,4,FALSE)</f>
        <v>#N/A</v>
      </c>
      <c r="O126" s="26" t="e">
        <f>N126-N125</f>
        <v>#N/A</v>
      </c>
      <c r="P126" s="16"/>
      <c r="Q126" s="49"/>
      <c r="R126" s="50"/>
      <c r="S126" s="40"/>
      <c r="T126" s="40"/>
      <c r="U126" s="40"/>
      <c r="V126" s="41"/>
      <c r="W126" s="41"/>
      <c r="X126" s="16"/>
      <c r="Y126" s="2"/>
      <c r="Z126" s="30"/>
      <c r="AA126" s="23" t="s">
        <v>20</v>
      </c>
      <c r="AB126" s="3" t="e">
        <f>VLOOKUP($T117,$T126:$W140,3,FALSE)</f>
        <v>#N/A</v>
      </c>
      <c r="AC126" s="17" t="e">
        <f>VLOOKUP($T117,$T126:$W140,4,FALSE)</f>
        <v>#N/A</v>
      </c>
      <c r="AD126" s="26" t="e">
        <f>AC126-AC125</f>
        <v>#N/A</v>
      </c>
      <c r="AE126" s="16"/>
    </row>
    <row r="127" spans="1:31" ht="14.25" thickTop="1" thickBot="1">
      <c r="A127" s="47"/>
      <c r="B127" s="50"/>
      <c r="C127" s="40"/>
      <c r="D127" s="40"/>
      <c r="E127" s="40"/>
      <c r="F127" s="41"/>
      <c r="G127" s="41"/>
      <c r="H127" s="2"/>
      <c r="I127" s="51"/>
      <c r="J127" s="51"/>
      <c r="K127" s="19">
        <f>D118</f>
        <v>0</v>
      </c>
      <c r="L127" s="70">
        <f>E118</f>
        <v>0</v>
      </c>
      <c r="M127" s="3">
        <f>F118</f>
        <v>0</v>
      </c>
      <c r="N127" s="17">
        <f>G118</f>
        <v>0</v>
      </c>
      <c r="O127" s="20" t="e">
        <f>M128-M127</f>
        <v>#N/A</v>
      </c>
      <c r="P127" s="16"/>
      <c r="Q127" s="49"/>
      <c r="R127" s="50"/>
      <c r="S127" s="40"/>
      <c r="T127" s="40"/>
      <c r="U127" s="40"/>
      <c r="V127" s="41"/>
      <c r="W127" s="41"/>
      <c r="X127" s="16"/>
      <c r="Y127" s="6"/>
      <c r="Z127" s="19">
        <f>T118</f>
        <v>0</v>
      </c>
      <c r="AA127" s="70">
        <f>U118</f>
        <v>0</v>
      </c>
      <c r="AB127" s="3">
        <f>V118</f>
        <v>0</v>
      </c>
      <c r="AC127" s="17">
        <f>W118</f>
        <v>0</v>
      </c>
      <c r="AD127" s="20" t="e">
        <f>AB128-AB127</f>
        <v>#N/A</v>
      </c>
      <c r="AE127" s="16"/>
    </row>
    <row r="128" spans="1:31" ht="14.25" thickTop="1" thickBot="1">
      <c r="A128" s="47"/>
      <c r="B128" s="50"/>
      <c r="C128" s="40"/>
      <c r="D128" s="40"/>
      <c r="E128" s="40"/>
      <c r="F128" s="41"/>
      <c r="G128" s="41"/>
      <c r="H128" s="2"/>
      <c r="I128" s="51"/>
      <c r="J128" s="51"/>
      <c r="K128" s="30"/>
      <c r="L128" s="23" t="s">
        <v>20</v>
      </c>
      <c r="M128" s="3" t="e">
        <f>VLOOKUP($D118,$D126:$G140,3,FALSE)</f>
        <v>#N/A</v>
      </c>
      <c r="N128" s="17" t="e">
        <f>VLOOKUP($D118,$D126:$G140,4,FALSE)</f>
        <v>#N/A</v>
      </c>
      <c r="O128" s="26" t="e">
        <f>N128-N127</f>
        <v>#N/A</v>
      </c>
      <c r="P128" s="16"/>
      <c r="Q128" s="49"/>
      <c r="R128" s="50"/>
      <c r="S128" s="40"/>
      <c r="T128" s="40"/>
      <c r="U128" s="40"/>
      <c r="V128" s="41"/>
      <c r="W128" s="41"/>
      <c r="X128" s="16"/>
      <c r="Y128" s="2"/>
      <c r="Z128" s="30"/>
      <c r="AA128" s="23" t="s">
        <v>20</v>
      </c>
      <c r="AB128" s="3" t="e">
        <f>VLOOKUP($T118,$T126:$W140,3,FALSE)</f>
        <v>#N/A</v>
      </c>
      <c r="AC128" s="17" t="e">
        <f>VLOOKUP($T118,$T126:$W140,4,FALSE)</f>
        <v>#N/A</v>
      </c>
      <c r="AD128" s="26" t="e">
        <f>AC128-AC127</f>
        <v>#N/A</v>
      </c>
      <c r="AE128" s="16"/>
    </row>
    <row r="129" spans="1:31" ht="14.25" thickTop="1" thickBot="1">
      <c r="A129" s="47"/>
      <c r="B129" s="50"/>
      <c r="C129" s="40"/>
      <c r="D129" s="40"/>
      <c r="E129" s="40"/>
      <c r="F129" s="40"/>
      <c r="G129" s="41"/>
      <c r="H129" s="2"/>
      <c r="I129" s="51"/>
      <c r="J129" s="51"/>
      <c r="K129" s="19">
        <f>D119</f>
        <v>0</v>
      </c>
      <c r="L129" s="70">
        <f>E119</f>
        <v>0</v>
      </c>
      <c r="M129" s="3">
        <f>F119</f>
        <v>0</v>
      </c>
      <c r="N129" s="17">
        <f>G119</f>
        <v>0</v>
      </c>
      <c r="O129" s="20" t="e">
        <f>M130-M129</f>
        <v>#N/A</v>
      </c>
      <c r="P129" s="16"/>
      <c r="Q129" s="49"/>
      <c r="R129" s="50"/>
      <c r="S129" s="40"/>
      <c r="T129" s="40"/>
      <c r="U129" s="40"/>
      <c r="V129" s="41"/>
      <c r="W129" s="41"/>
      <c r="X129" s="16"/>
      <c r="Y129" s="6"/>
      <c r="Z129" s="19">
        <f>T119</f>
        <v>0</v>
      </c>
      <c r="AA129" s="70">
        <f>U119</f>
        <v>0</v>
      </c>
      <c r="AB129" s="3">
        <f>V119</f>
        <v>0</v>
      </c>
      <c r="AC129" s="17">
        <f>W119</f>
        <v>0</v>
      </c>
      <c r="AD129" s="20" t="e">
        <f>AB130-AB129</f>
        <v>#N/A</v>
      </c>
      <c r="AE129" s="16"/>
    </row>
    <row r="130" spans="1:31" ht="14.25" thickTop="1" thickBot="1">
      <c r="A130" s="47"/>
      <c r="B130" s="50"/>
      <c r="C130" s="40"/>
      <c r="D130" s="40"/>
      <c r="E130" s="40"/>
      <c r="F130" s="40"/>
      <c r="G130" s="41"/>
      <c r="H130" s="2"/>
      <c r="I130" s="51"/>
      <c r="J130" s="51"/>
      <c r="K130" s="30"/>
      <c r="L130" s="23" t="s">
        <v>20</v>
      </c>
      <c r="M130" s="3" t="e">
        <f>VLOOKUP($D119,$D126:$G140,3,FALSE)</f>
        <v>#N/A</v>
      </c>
      <c r="N130" s="17" t="e">
        <f>VLOOKUP($D119,$D126:$G140,4,FALSE)</f>
        <v>#N/A</v>
      </c>
      <c r="O130" s="26" t="e">
        <f>N130-N129</f>
        <v>#N/A</v>
      </c>
      <c r="P130" s="16"/>
      <c r="Q130" s="49"/>
      <c r="R130" s="50"/>
      <c r="S130" s="40"/>
      <c r="T130" s="40"/>
      <c r="U130" s="40"/>
      <c r="V130" s="41"/>
      <c r="W130" s="41"/>
      <c r="X130" s="16"/>
      <c r="Y130" s="2"/>
      <c r="Z130" s="30"/>
      <c r="AA130" s="23" t="s">
        <v>20</v>
      </c>
      <c r="AB130" s="3" t="e">
        <f>VLOOKUP($T119,$T126:$W140,3,FALSE)</f>
        <v>#N/A</v>
      </c>
      <c r="AC130" s="17" t="e">
        <f>VLOOKUP($T119,$T126:$W140,4,FALSE)</f>
        <v>#N/A</v>
      </c>
      <c r="AD130" s="26" t="e">
        <f>AC130-AC129</f>
        <v>#N/A</v>
      </c>
      <c r="AE130" s="16"/>
    </row>
    <row r="131" spans="1:31" ht="14.25" thickTop="1" thickBot="1">
      <c r="A131" s="47"/>
      <c r="B131" s="50"/>
      <c r="C131" s="40"/>
      <c r="D131" s="40"/>
      <c r="E131" s="40"/>
      <c r="F131" s="40"/>
      <c r="G131" s="41"/>
      <c r="H131" s="2"/>
      <c r="I131" s="51"/>
      <c r="J131" s="51"/>
      <c r="K131" s="19">
        <f>D120</f>
        <v>0</v>
      </c>
      <c r="L131" s="70">
        <f>E120</f>
        <v>0</v>
      </c>
      <c r="M131" s="3">
        <f>F120</f>
        <v>0</v>
      </c>
      <c r="N131" s="17">
        <f>G120</f>
        <v>0</v>
      </c>
      <c r="O131" s="20" t="e">
        <f>M132-M131</f>
        <v>#N/A</v>
      </c>
      <c r="P131" s="16"/>
      <c r="Q131" s="49"/>
      <c r="R131" s="50"/>
      <c r="S131" s="40"/>
      <c r="T131" s="40"/>
      <c r="U131" s="40"/>
      <c r="V131" s="41"/>
      <c r="W131" s="41"/>
      <c r="X131" s="16"/>
      <c r="Y131" s="6"/>
      <c r="Z131" s="19">
        <f>T120</f>
        <v>0</v>
      </c>
      <c r="AA131" s="70">
        <f>U120</f>
        <v>0</v>
      </c>
      <c r="AB131" s="3">
        <f>V120</f>
        <v>0</v>
      </c>
      <c r="AC131" s="17">
        <f>W120</f>
        <v>0</v>
      </c>
      <c r="AD131" s="20" t="e">
        <f>AB132-AB131</f>
        <v>#N/A</v>
      </c>
      <c r="AE131" s="16"/>
    </row>
    <row r="132" spans="1:31" ht="14.25" thickTop="1" thickBot="1">
      <c r="A132" s="47"/>
      <c r="B132" s="50"/>
      <c r="C132" s="40"/>
      <c r="D132" s="40"/>
      <c r="E132" s="40"/>
      <c r="F132" s="40"/>
      <c r="G132" s="41"/>
      <c r="H132" s="2"/>
      <c r="I132" s="51"/>
      <c r="J132" s="51"/>
      <c r="K132" s="30"/>
      <c r="L132" s="23" t="s">
        <v>20</v>
      </c>
      <c r="M132" s="3" t="e">
        <f>VLOOKUP($D120,$D126:$G140,3,FALSE)</f>
        <v>#N/A</v>
      </c>
      <c r="N132" s="17" t="e">
        <f>VLOOKUP($D120,$D126:$G140,4,FALSE)</f>
        <v>#N/A</v>
      </c>
      <c r="O132" s="26" t="e">
        <f>N132-N131</f>
        <v>#N/A</v>
      </c>
      <c r="P132" s="16"/>
      <c r="Q132" s="49"/>
      <c r="R132" s="50"/>
      <c r="S132" s="40"/>
      <c r="T132" s="40"/>
      <c r="U132" s="40"/>
      <c r="V132" s="40"/>
      <c r="W132" s="41"/>
      <c r="X132" s="16"/>
      <c r="Y132" s="2"/>
      <c r="Z132" s="30"/>
      <c r="AA132" s="23" t="s">
        <v>20</v>
      </c>
      <c r="AB132" s="3" t="e">
        <f>VLOOKUP($T120,$T126:$W140,3,FALSE)</f>
        <v>#N/A</v>
      </c>
      <c r="AC132" s="17" t="e">
        <f>VLOOKUP($T120,$T126:$W140,4,FALSE)</f>
        <v>#N/A</v>
      </c>
      <c r="AD132" s="26" t="e">
        <f>AC132-AC131</f>
        <v>#N/A</v>
      </c>
      <c r="AE132" s="16"/>
    </row>
    <row r="133" spans="1:31" ht="14.25" thickTop="1" thickBot="1">
      <c r="A133" s="47"/>
      <c r="B133" s="50"/>
      <c r="C133" s="40"/>
      <c r="D133" s="40"/>
      <c r="E133" s="40"/>
      <c r="F133" s="40"/>
      <c r="G133" s="41"/>
      <c r="H133" s="2"/>
      <c r="I133" s="51"/>
      <c r="J133" s="51"/>
      <c r="K133" s="29">
        <f>D121</f>
        <v>0</v>
      </c>
      <c r="L133" s="70">
        <f>E121</f>
        <v>0</v>
      </c>
      <c r="M133" s="3">
        <f>F121</f>
        <v>0</v>
      </c>
      <c r="N133" s="17">
        <f>G121</f>
        <v>0</v>
      </c>
      <c r="O133" s="20" t="e">
        <f>M134-M133</f>
        <v>#N/A</v>
      </c>
      <c r="P133" s="16"/>
      <c r="Q133" s="49"/>
      <c r="R133" s="50"/>
      <c r="S133" s="40"/>
      <c r="T133" s="40"/>
      <c r="U133" s="40"/>
      <c r="V133" s="40"/>
      <c r="W133" s="41"/>
      <c r="X133" s="16"/>
      <c r="Y133" s="6"/>
      <c r="Z133" s="29">
        <f>T121</f>
        <v>0</v>
      </c>
      <c r="AA133" s="70">
        <f>U121</f>
        <v>0</v>
      </c>
      <c r="AB133" s="3">
        <f>V121</f>
        <v>0</v>
      </c>
      <c r="AC133" s="17">
        <f>W121</f>
        <v>0</v>
      </c>
      <c r="AD133" s="20" t="e">
        <f>AB134-AB133</f>
        <v>#N/A</v>
      </c>
      <c r="AE133" s="16"/>
    </row>
    <row r="134" spans="1:31" ht="14.25" thickTop="1" thickBot="1">
      <c r="A134" s="47"/>
      <c r="B134" s="50"/>
      <c r="C134" s="40"/>
      <c r="D134" s="40"/>
      <c r="E134" s="40"/>
      <c r="F134" s="40"/>
      <c r="G134" s="41"/>
      <c r="H134" s="2"/>
      <c r="I134" s="51"/>
      <c r="J134" s="51"/>
      <c r="K134" s="30"/>
      <c r="L134" s="23" t="s">
        <v>20</v>
      </c>
      <c r="M134" s="3" t="e">
        <f>VLOOKUP($D121,$D126:$G140,3,FALSE)</f>
        <v>#N/A</v>
      </c>
      <c r="N134" s="17" t="e">
        <f>VLOOKUP($D121,$D126:$G140,4,FALSE)</f>
        <v>#N/A</v>
      </c>
      <c r="O134" s="26" t="e">
        <f>N134-N133</f>
        <v>#N/A</v>
      </c>
      <c r="P134" s="16"/>
      <c r="Q134" s="49"/>
      <c r="R134" s="50"/>
      <c r="S134" s="40"/>
      <c r="T134" s="40"/>
      <c r="U134" s="40"/>
      <c r="V134" s="40"/>
      <c r="W134" s="41"/>
      <c r="X134" s="16"/>
      <c r="Y134" s="2"/>
      <c r="Z134" s="30"/>
      <c r="AA134" s="23" t="s">
        <v>20</v>
      </c>
      <c r="AB134" s="3" t="e">
        <f>VLOOKUP($T121,$T126:$W140,3,FALSE)</f>
        <v>#N/A</v>
      </c>
      <c r="AC134" s="17" t="e">
        <f>VLOOKUP($T121,$T126:$W140,4,FALSE)</f>
        <v>#N/A</v>
      </c>
      <c r="AD134" s="26" t="e">
        <f>AC134-AC133</f>
        <v>#N/A</v>
      </c>
      <c r="AE134" s="16"/>
    </row>
    <row r="135" spans="1:31" ht="14.25" thickTop="1" thickBot="1">
      <c r="A135" s="47"/>
      <c r="B135" s="50"/>
      <c r="C135" s="40"/>
      <c r="D135" s="40"/>
      <c r="E135" s="40"/>
      <c r="F135" s="40"/>
      <c r="G135" s="41"/>
      <c r="H135" s="2"/>
      <c r="I135" s="51"/>
      <c r="J135" s="51"/>
      <c r="K135" s="19">
        <f>D122</f>
        <v>0</v>
      </c>
      <c r="L135" s="70">
        <f>E122</f>
        <v>0</v>
      </c>
      <c r="M135" s="3">
        <f>F122</f>
        <v>0</v>
      </c>
      <c r="N135" s="17">
        <f>G122</f>
        <v>0</v>
      </c>
      <c r="O135" s="20" t="e">
        <f>M136-M135</f>
        <v>#N/A</v>
      </c>
      <c r="P135" s="16"/>
      <c r="Q135" s="49"/>
      <c r="R135" s="50"/>
      <c r="S135" s="40"/>
      <c r="T135" s="40"/>
      <c r="U135" s="40"/>
      <c r="V135" s="40"/>
      <c r="W135" s="41"/>
      <c r="X135" s="16"/>
      <c r="Y135" s="6"/>
      <c r="Z135" s="19">
        <f>T122</f>
        <v>0</v>
      </c>
      <c r="AA135" s="70">
        <f>U122</f>
        <v>0</v>
      </c>
      <c r="AB135" s="3">
        <f>V122</f>
        <v>0</v>
      </c>
      <c r="AC135" s="17">
        <f>W122</f>
        <v>0</v>
      </c>
      <c r="AD135" s="20" t="e">
        <f>AB136-AB135</f>
        <v>#N/A</v>
      </c>
      <c r="AE135" s="16"/>
    </row>
    <row r="136" spans="1:31" ht="14.25" thickTop="1" thickBot="1">
      <c r="A136" s="47"/>
      <c r="B136" s="50"/>
      <c r="C136" s="40"/>
      <c r="D136" s="40"/>
      <c r="E136" s="40"/>
      <c r="F136" s="40"/>
      <c r="G136" s="41"/>
      <c r="H136" s="2"/>
      <c r="I136" s="51"/>
      <c r="J136" s="51"/>
      <c r="K136" s="30"/>
      <c r="L136" s="23" t="s">
        <v>20</v>
      </c>
      <c r="M136" s="3" t="e">
        <f>VLOOKUP($D122,$D126:$G140,3,FALSE)</f>
        <v>#N/A</v>
      </c>
      <c r="N136" s="17" t="e">
        <f>VLOOKUP($D122,$D126:$G140,4,FALSE)</f>
        <v>#N/A</v>
      </c>
      <c r="O136" s="26" t="e">
        <f>N136-N135</f>
        <v>#N/A</v>
      </c>
      <c r="P136" s="16"/>
      <c r="Q136" s="49"/>
      <c r="R136" s="50"/>
      <c r="S136" s="40"/>
      <c r="T136" s="40"/>
      <c r="U136" s="40"/>
      <c r="V136" s="40"/>
      <c r="W136" s="41"/>
      <c r="X136" s="16"/>
      <c r="Y136" s="2"/>
      <c r="Z136" s="30"/>
      <c r="AA136" s="23" t="s">
        <v>20</v>
      </c>
      <c r="AB136" s="3" t="e">
        <f>VLOOKUP($T122,$T126:$W140,3,FALSE)</f>
        <v>#N/A</v>
      </c>
      <c r="AC136" s="17" t="e">
        <f>VLOOKUP($T122,$T126:$W140,4,FALSE)</f>
        <v>#N/A</v>
      </c>
      <c r="AD136" s="26" t="e">
        <f>AC136-AC135</f>
        <v>#N/A</v>
      </c>
      <c r="AE136" s="16"/>
    </row>
    <row r="137" spans="1:31" ht="14.25" thickTop="1" thickBot="1">
      <c r="A137" s="47"/>
      <c r="B137" s="50"/>
      <c r="C137" s="40"/>
      <c r="D137" s="40"/>
      <c r="E137" s="40"/>
      <c r="F137" s="40"/>
      <c r="G137" s="41"/>
      <c r="H137" s="2"/>
      <c r="I137" s="51"/>
      <c r="J137" s="51"/>
      <c r="K137" s="19">
        <f>D123</f>
        <v>0</v>
      </c>
      <c r="L137" s="70">
        <f>E123</f>
        <v>0</v>
      </c>
      <c r="M137" s="3">
        <f>F123</f>
        <v>0</v>
      </c>
      <c r="N137" s="17">
        <f>G123</f>
        <v>0</v>
      </c>
      <c r="O137" s="20" t="e">
        <f>M138-M137</f>
        <v>#N/A</v>
      </c>
      <c r="P137" s="16"/>
      <c r="Q137" s="49"/>
      <c r="R137" s="50"/>
      <c r="S137" s="40"/>
      <c r="T137" s="40"/>
      <c r="U137" s="40"/>
      <c r="V137" s="40"/>
      <c r="W137" s="41"/>
      <c r="X137" s="16"/>
      <c r="Y137" s="6"/>
      <c r="Z137" s="19">
        <f>T123</f>
        <v>0</v>
      </c>
      <c r="AA137" s="70">
        <f>U123</f>
        <v>0</v>
      </c>
      <c r="AB137" s="3">
        <f>V123</f>
        <v>0</v>
      </c>
      <c r="AC137" s="17">
        <f>W123</f>
        <v>0</v>
      </c>
      <c r="AD137" s="20" t="e">
        <f>AB138-AB137</f>
        <v>#N/A</v>
      </c>
      <c r="AE137" s="16"/>
    </row>
    <row r="138" spans="1:31" ht="14.25" thickTop="1" thickBot="1">
      <c r="A138" s="47"/>
      <c r="B138" s="50"/>
      <c r="H138" s="2"/>
      <c r="I138" s="51"/>
      <c r="J138" s="51"/>
      <c r="K138" s="30"/>
      <c r="L138" s="24" t="s">
        <v>20</v>
      </c>
      <c r="M138" s="3" t="e">
        <f>VLOOKUP($D123,$D126:$G140,3,FALSE)</f>
        <v>#N/A</v>
      </c>
      <c r="N138" s="17" t="e">
        <f>VLOOKUP($D123,$D126:$G140,4,FALSE)</f>
        <v>#N/A</v>
      </c>
      <c r="O138" s="25" t="e">
        <f>N138-N137</f>
        <v>#N/A</v>
      </c>
      <c r="P138" s="38"/>
      <c r="Q138" s="49"/>
      <c r="R138" s="50"/>
      <c r="W138" s="1"/>
      <c r="X138" s="38"/>
      <c r="Y138" s="2"/>
      <c r="Z138" s="30"/>
      <c r="AA138" s="24" t="s">
        <v>20</v>
      </c>
      <c r="AB138" s="3" t="e">
        <f>VLOOKUP($T123,$T126:$W140,3,FALSE)</f>
        <v>#N/A</v>
      </c>
      <c r="AC138" s="17" t="e">
        <f>VLOOKUP($T123,$T126:$W140,4,FALSE)</f>
        <v>#N/A</v>
      </c>
      <c r="AD138" s="25" t="e">
        <f>AC138-AC137</f>
        <v>#N/A</v>
      </c>
      <c r="AE138" s="38"/>
    </row>
    <row r="139" spans="1:31" ht="13.5" thickTop="1">
      <c r="A139" s="47"/>
      <c r="B139" s="50"/>
      <c r="H139" s="2"/>
      <c r="I139" s="48"/>
      <c r="J139" s="2"/>
      <c r="K139" s="31"/>
      <c r="L139" s="6"/>
      <c r="M139" s="11"/>
      <c r="N139" s="11"/>
      <c r="O139" s="6"/>
      <c r="P139" s="38"/>
      <c r="Q139" s="49"/>
      <c r="R139" s="50"/>
      <c r="W139" s="1"/>
      <c r="X139" s="38"/>
      <c r="Y139" s="2"/>
      <c r="Z139" s="31"/>
      <c r="AA139" s="6"/>
      <c r="AB139" s="11"/>
      <c r="AC139" s="11"/>
      <c r="AD139" s="6"/>
      <c r="AE139" s="38"/>
    </row>
    <row r="140" spans="1:31" ht="13.5" thickBot="1">
      <c r="A140" s="47"/>
      <c r="B140" s="50"/>
      <c r="H140" s="2"/>
      <c r="I140" s="48"/>
      <c r="J140" s="2"/>
      <c r="K140" s="27"/>
      <c r="L140" s="2"/>
      <c r="M140" s="2"/>
      <c r="N140" s="2"/>
      <c r="O140" s="2"/>
      <c r="P140" s="38"/>
      <c r="Q140" s="49"/>
      <c r="R140" s="50"/>
      <c r="W140" s="1"/>
      <c r="X140" s="38"/>
      <c r="Y140" s="2"/>
      <c r="Z140" s="27"/>
      <c r="AA140" s="2"/>
      <c r="AB140" s="2"/>
      <c r="AC140" s="2"/>
      <c r="AD140" s="2"/>
      <c r="AE140" s="38"/>
    </row>
    <row r="141" spans="1:31" ht="13.5" thickTop="1">
      <c r="A141" s="47"/>
      <c r="B141" s="48"/>
      <c r="C141" s="32"/>
      <c r="D141" s="32" t="s">
        <v>46</v>
      </c>
      <c r="E141" s="42"/>
      <c r="F141" s="32" t="s">
        <v>47</v>
      </c>
      <c r="G141" s="33"/>
      <c r="H141" s="2"/>
      <c r="I141" s="48"/>
      <c r="J141" s="2"/>
      <c r="K141" s="27"/>
      <c r="L141" s="2"/>
      <c r="M141" s="2"/>
      <c r="N141" s="2"/>
      <c r="O141" s="2"/>
      <c r="P141" s="38"/>
      <c r="Q141" s="49"/>
      <c r="R141" s="48"/>
      <c r="S141" s="32"/>
      <c r="T141" s="32" t="s">
        <v>46</v>
      </c>
      <c r="U141" s="42"/>
      <c r="V141" s="32" t="s">
        <v>47</v>
      </c>
      <c r="W141" s="33"/>
      <c r="X141" s="38"/>
      <c r="Y141" s="2"/>
      <c r="Z141" s="27"/>
      <c r="AA141" s="2"/>
      <c r="AB141" s="2"/>
      <c r="AC141" s="2"/>
      <c r="AD141" s="2"/>
      <c r="AE141" s="38"/>
    </row>
    <row r="142" spans="1:31">
      <c r="A142" s="47"/>
      <c r="B142" s="48"/>
      <c r="C142" s="52" t="s">
        <v>41</v>
      </c>
      <c r="D142" s="52"/>
      <c r="E142" s="53"/>
      <c r="F142" s="53"/>
      <c r="G142" s="54"/>
      <c r="H142" s="53"/>
      <c r="I142" s="53"/>
      <c r="J142" s="53"/>
      <c r="K142" s="55"/>
      <c r="L142" s="53"/>
      <c r="M142" s="53"/>
      <c r="N142" s="53"/>
      <c r="O142" s="53"/>
      <c r="P142" s="4"/>
      <c r="Q142" s="49"/>
      <c r="R142" s="48"/>
      <c r="S142" s="56" t="s">
        <v>41</v>
      </c>
      <c r="T142" s="56"/>
      <c r="U142" s="57"/>
      <c r="V142" s="57"/>
      <c r="W142" s="58"/>
      <c r="X142" s="57"/>
      <c r="Y142" s="57"/>
      <c r="Z142" s="59"/>
      <c r="AA142" s="57"/>
      <c r="AB142" s="57"/>
      <c r="AC142" s="57"/>
      <c r="AD142" s="57"/>
      <c r="AE142" s="4"/>
    </row>
    <row r="143" spans="1:31" ht="13.5" thickBot="1">
      <c r="A143" s="47"/>
      <c r="B143" s="48"/>
      <c r="C143" s="8" t="s">
        <v>36</v>
      </c>
      <c r="D143" s="8" t="s">
        <v>18</v>
      </c>
      <c r="E143" s="8" t="s">
        <v>14</v>
      </c>
      <c r="F143" s="8" t="s">
        <v>15</v>
      </c>
      <c r="G143" s="8" t="s">
        <v>16</v>
      </c>
      <c r="H143" s="2"/>
      <c r="I143" s="2"/>
      <c r="J143" s="2"/>
      <c r="K143" s="28" t="s">
        <v>17</v>
      </c>
      <c r="L143" s="9" t="s">
        <v>14</v>
      </c>
      <c r="M143" s="9" t="s">
        <v>15</v>
      </c>
      <c r="N143" s="9" t="s">
        <v>16</v>
      </c>
      <c r="O143" s="9" t="s">
        <v>19</v>
      </c>
      <c r="P143" s="4"/>
      <c r="Q143" s="49"/>
      <c r="R143" s="48"/>
      <c r="S143" s="8" t="s">
        <v>36</v>
      </c>
      <c r="T143" s="8" t="s">
        <v>18</v>
      </c>
      <c r="U143" s="8" t="s">
        <v>14</v>
      </c>
      <c r="V143" s="8" t="s">
        <v>15</v>
      </c>
      <c r="W143" s="8" t="s">
        <v>16</v>
      </c>
      <c r="X143" s="4"/>
      <c r="Y143" s="2"/>
      <c r="Z143" s="28" t="s">
        <v>17</v>
      </c>
      <c r="AA143" s="9" t="s">
        <v>14</v>
      </c>
      <c r="AB143" s="9" t="s">
        <v>15</v>
      </c>
      <c r="AC143" s="9" t="s">
        <v>16</v>
      </c>
      <c r="AD143" s="9" t="s">
        <v>19</v>
      </c>
      <c r="AE143" s="4"/>
    </row>
    <row r="144" spans="1:31" ht="14.25" thickTop="1" thickBot="1">
      <c r="A144" s="47"/>
      <c r="B144" s="50"/>
      <c r="C144" s="40"/>
      <c r="D144" s="40"/>
      <c r="E144" s="40"/>
      <c r="F144" s="41"/>
      <c r="G144" s="41"/>
      <c r="H144" s="18">
        <v>922689</v>
      </c>
      <c r="I144" s="51"/>
      <c r="J144" s="51"/>
      <c r="K144" s="29">
        <f>D144</f>
        <v>0</v>
      </c>
      <c r="L144" s="70">
        <f>E144</f>
        <v>0</v>
      </c>
      <c r="M144" s="17">
        <f>F144</f>
        <v>0</v>
      </c>
      <c r="N144" s="17">
        <f>G144</f>
        <v>0</v>
      </c>
      <c r="O144" s="20" t="e">
        <f>M145-M144</f>
        <v>#N/A</v>
      </c>
      <c r="P144" s="16"/>
      <c r="Q144" s="49"/>
      <c r="R144" s="50"/>
      <c r="S144" s="40"/>
      <c r="T144" s="40"/>
      <c r="U144" s="40"/>
      <c r="V144" s="41"/>
      <c r="W144" s="41"/>
      <c r="X144" s="16"/>
      <c r="Y144" s="6"/>
      <c r="Z144" s="29">
        <f>T144</f>
        <v>0</v>
      </c>
      <c r="AA144" s="70">
        <f>U144</f>
        <v>0</v>
      </c>
      <c r="AB144" s="17">
        <f>V144</f>
        <v>0</v>
      </c>
      <c r="AC144" s="17">
        <f>W144</f>
        <v>0</v>
      </c>
      <c r="AD144" s="20" t="e">
        <f>AB145-AB144</f>
        <v>#N/A</v>
      </c>
      <c r="AE144" s="16"/>
    </row>
    <row r="145" spans="1:33" ht="14.25" thickTop="1" thickBot="1">
      <c r="A145" s="47"/>
      <c r="B145" s="50"/>
      <c r="C145" s="40"/>
      <c r="D145" s="40"/>
      <c r="E145" s="40"/>
      <c r="F145" s="41"/>
      <c r="G145" s="41"/>
      <c r="H145" s="18">
        <v>896047</v>
      </c>
      <c r="I145" s="51"/>
      <c r="J145" s="51"/>
      <c r="K145" s="30"/>
      <c r="L145" s="23" t="s">
        <v>20</v>
      </c>
      <c r="M145" s="3" t="e">
        <f>VLOOKUP($D144,$D161:$G175,3,FALSE)</f>
        <v>#N/A</v>
      </c>
      <c r="N145" s="17" t="e">
        <f>VLOOKUP($D$4,$D161:$G175,4,FALSE)</f>
        <v>#N/A</v>
      </c>
      <c r="O145" s="26" t="e">
        <f>N145-N144</f>
        <v>#N/A</v>
      </c>
      <c r="P145" s="16"/>
      <c r="Q145" s="49"/>
      <c r="R145" s="50"/>
      <c r="S145" s="40"/>
      <c r="T145" s="40"/>
      <c r="U145" s="40"/>
      <c r="V145" s="41"/>
      <c r="W145" s="41"/>
      <c r="X145" s="16"/>
      <c r="Y145" s="2"/>
      <c r="Z145" s="30"/>
      <c r="AA145" s="23" t="s">
        <v>20</v>
      </c>
      <c r="AB145" s="3" t="e">
        <f>VLOOKUP($T144,$T161:$W175,3,FALSE)</f>
        <v>#N/A</v>
      </c>
      <c r="AC145" s="17" t="e">
        <f>VLOOKUP($T144,$T161:$W175,4,FALSE)</f>
        <v>#N/A</v>
      </c>
      <c r="AD145" s="26" t="e">
        <f>AC145-AC144</f>
        <v>#N/A</v>
      </c>
      <c r="AE145" s="16"/>
    </row>
    <row r="146" spans="1:33" ht="14.25" thickTop="1" thickBot="1">
      <c r="A146" s="47"/>
      <c r="B146" s="50"/>
      <c r="C146" s="40"/>
      <c r="D146" s="40"/>
      <c r="E146" s="40"/>
      <c r="F146" s="41"/>
      <c r="G146" s="41"/>
      <c r="H146" s="18">
        <v>588467</v>
      </c>
      <c r="I146" s="51"/>
      <c r="J146" s="51"/>
      <c r="K146" s="19">
        <f>D145</f>
        <v>0</v>
      </c>
      <c r="L146" s="70">
        <f>E145</f>
        <v>0</v>
      </c>
      <c r="M146" s="3">
        <f>F145</f>
        <v>0</v>
      </c>
      <c r="N146" s="17">
        <f>G145</f>
        <v>0</v>
      </c>
      <c r="O146" s="20" t="e">
        <f>M147-M146</f>
        <v>#N/A</v>
      </c>
      <c r="P146" s="16"/>
      <c r="Q146" s="49"/>
      <c r="R146" s="50"/>
      <c r="S146" s="40"/>
      <c r="T146" s="40"/>
      <c r="U146" s="40"/>
      <c r="V146" s="41"/>
      <c r="W146" s="41"/>
      <c r="X146" s="16"/>
      <c r="Y146" s="6"/>
      <c r="Z146" s="19">
        <f>T145</f>
        <v>0</v>
      </c>
      <c r="AA146" s="70">
        <f>U145</f>
        <v>0</v>
      </c>
      <c r="AB146" s="3">
        <f>V145</f>
        <v>0</v>
      </c>
      <c r="AC146" s="17">
        <f>W145</f>
        <v>0</v>
      </c>
      <c r="AD146" s="20" t="e">
        <f>AB147-AB146</f>
        <v>#N/A</v>
      </c>
      <c r="AE146" s="16"/>
      <c r="AG146" s="35"/>
    </row>
    <row r="147" spans="1:33" ht="14.25" thickTop="1" thickBot="1">
      <c r="A147" s="47"/>
      <c r="B147" s="50"/>
      <c r="C147" s="40"/>
      <c r="D147" s="40"/>
      <c r="E147" s="40"/>
      <c r="F147" s="40"/>
      <c r="G147" s="41"/>
      <c r="H147" s="18">
        <v>600459</v>
      </c>
      <c r="I147" s="51"/>
      <c r="J147" s="51"/>
      <c r="K147" s="30"/>
      <c r="L147" s="23" t="s">
        <v>20</v>
      </c>
      <c r="M147" s="3" t="e">
        <f>VLOOKUP($D145,$D161:$G175,3,FALSE)</f>
        <v>#N/A</v>
      </c>
      <c r="N147" s="17" t="e">
        <f>VLOOKUP($D$5,$D161:$G175,4,FALSE)</f>
        <v>#N/A</v>
      </c>
      <c r="O147" s="26" t="e">
        <f>N147-N146</f>
        <v>#N/A</v>
      </c>
      <c r="P147" s="16"/>
      <c r="Q147" s="49"/>
      <c r="R147" s="50"/>
      <c r="S147" s="40"/>
      <c r="T147" s="40"/>
      <c r="U147" s="40"/>
      <c r="V147" s="41"/>
      <c r="W147" s="41"/>
      <c r="X147" s="16"/>
      <c r="Y147" s="2"/>
      <c r="Z147" s="30"/>
      <c r="AA147" s="23" t="s">
        <v>20</v>
      </c>
      <c r="AB147" s="3" t="e">
        <f>VLOOKUP($T145,$T161:$W175,3,FALSE)</f>
        <v>#N/A</v>
      </c>
      <c r="AC147" s="17" t="e">
        <f>VLOOKUP($T145,$T161:$W175,4,FALSE)</f>
        <v>#N/A</v>
      </c>
      <c r="AD147" s="26" t="e">
        <f>AC147-AC146</f>
        <v>#N/A</v>
      </c>
      <c r="AE147" s="16"/>
    </row>
    <row r="148" spans="1:33" ht="14.25" thickTop="1" thickBot="1">
      <c r="A148" s="47"/>
      <c r="B148" s="50"/>
      <c r="C148" s="40"/>
      <c r="D148" s="40"/>
      <c r="E148" s="40"/>
      <c r="F148" s="40"/>
      <c r="G148" s="41"/>
      <c r="H148" s="18">
        <v>432716</v>
      </c>
      <c r="I148" s="51"/>
      <c r="J148" s="51"/>
      <c r="K148" s="19">
        <f>D146</f>
        <v>0</v>
      </c>
      <c r="L148" s="70">
        <f>E146</f>
        <v>0</v>
      </c>
      <c r="M148" s="3">
        <f>F146</f>
        <v>0</v>
      </c>
      <c r="N148" s="17">
        <f>G146</f>
        <v>0</v>
      </c>
      <c r="O148" s="20" t="e">
        <f>M149-M148</f>
        <v>#N/A</v>
      </c>
      <c r="P148" s="16"/>
      <c r="Q148" s="49"/>
      <c r="R148" s="50"/>
      <c r="S148" s="40"/>
      <c r="T148" s="40"/>
      <c r="U148" s="40"/>
      <c r="V148" s="40"/>
      <c r="W148" s="41"/>
      <c r="X148" s="16"/>
      <c r="Y148" s="6"/>
      <c r="Z148" s="19">
        <f>T146</f>
        <v>0</v>
      </c>
      <c r="AA148" s="70">
        <f>U146</f>
        <v>0</v>
      </c>
      <c r="AB148" s="3">
        <f>V146</f>
        <v>0</v>
      </c>
      <c r="AC148" s="17">
        <f>W146</f>
        <v>0</v>
      </c>
      <c r="AD148" s="20" t="e">
        <f>AB149-AB148</f>
        <v>#N/A</v>
      </c>
      <c r="AE148" s="16"/>
    </row>
    <row r="149" spans="1:33" ht="14.25" thickTop="1" thickBot="1">
      <c r="A149" s="47"/>
      <c r="B149" s="50"/>
      <c r="C149" s="40"/>
      <c r="D149" s="40"/>
      <c r="E149" s="40"/>
      <c r="F149" s="40"/>
      <c r="G149" s="41"/>
      <c r="H149" s="18">
        <v>149538</v>
      </c>
      <c r="I149" s="51"/>
      <c r="J149" s="51"/>
      <c r="K149" s="30"/>
      <c r="L149" s="23" t="s">
        <v>20</v>
      </c>
      <c r="M149" s="3" t="e">
        <f>VLOOKUP($D146,$D161:$G175,3,FALSE)</f>
        <v>#N/A</v>
      </c>
      <c r="N149" s="17" t="e">
        <f>VLOOKUP($D146,$D161:$G175,4,FALSE)</f>
        <v>#N/A</v>
      </c>
      <c r="O149" s="26" t="e">
        <f>N149-N148</f>
        <v>#N/A</v>
      </c>
      <c r="P149" s="16"/>
      <c r="Q149" s="49"/>
      <c r="R149" s="50"/>
      <c r="S149" s="40"/>
      <c r="T149" s="40"/>
      <c r="U149" s="40"/>
      <c r="V149" s="40"/>
      <c r="W149" s="41"/>
      <c r="X149" s="16"/>
      <c r="Y149" s="2"/>
      <c r="Z149" s="30"/>
      <c r="AA149" s="23" t="s">
        <v>20</v>
      </c>
      <c r="AB149" s="3" t="e">
        <f>VLOOKUP($T146,$T161:$W175,3,FALSE)</f>
        <v>#N/A</v>
      </c>
      <c r="AC149" s="17" t="e">
        <f>VLOOKUP($T146,$T161:$W175,4,FALSE)</f>
        <v>#N/A</v>
      </c>
      <c r="AD149" s="26" t="e">
        <f>AC149-AC148</f>
        <v>#N/A</v>
      </c>
      <c r="AE149" s="16"/>
    </row>
    <row r="150" spans="1:33" ht="14.25" thickTop="1" thickBot="1">
      <c r="A150" s="47"/>
      <c r="B150" s="50"/>
      <c r="C150" s="40"/>
      <c r="D150" s="40"/>
      <c r="E150" s="40"/>
      <c r="F150" s="40"/>
      <c r="G150" s="41"/>
      <c r="H150" s="18">
        <v>101933</v>
      </c>
      <c r="I150" s="51"/>
      <c r="J150" s="51"/>
      <c r="K150" s="19">
        <f>D147</f>
        <v>0</v>
      </c>
      <c r="L150" s="70">
        <f>E147</f>
        <v>0</v>
      </c>
      <c r="M150" s="3">
        <f>F147</f>
        <v>0</v>
      </c>
      <c r="N150" s="17">
        <f>G147</f>
        <v>0</v>
      </c>
      <c r="O150" s="20" t="e">
        <f>M151-M150</f>
        <v>#N/A</v>
      </c>
      <c r="P150" s="16"/>
      <c r="Q150" s="49"/>
      <c r="R150" s="50"/>
      <c r="S150" s="40"/>
      <c r="T150" s="40"/>
      <c r="U150" s="40"/>
      <c r="V150" s="40"/>
      <c r="W150" s="41"/>
      <c r="X150" s="16"/>
      <c r="Y150" s="6"/>
      <c r="Z150" s="19">
        <f>T147</f>
        <v>0</v>
      </c>
      <c r="AA150" s="70">
        <f>U147</f>
        <v>0</v>
      </c>
      <c r="AB150" s="3">
        <f>V147</f>
        <v>0</v>
      </c>
      <c r="AC150" s="17">
        <f>W147</f>
        <v>0</v>
      </c>
      <c r="AD150" s="20" t="e">
        <f>AB151-AB150</f>
        <v>#N/A</v>
      </c>
      <c r="AE150" s="16"/>
    </row>
    <row r="151" spans="1:33" ht="14.25" thickTop="1" thickBot="1">
      <c r="A151" s="47"/>
      <c r="B151" s="50"/>
      <c r="C151" s="40"/>
      <c r="D151" s="40"/>
      <c r="E151" s="40"/>
      <c r="F151" s="40"/>
      <c r="G151" s="41"/>
      <c r="H151" s="18">
        <v>6850</v>
      </c>
      <c r="I151" s="51"/>
      <c r="J151" s="51"/>
      <c r="K151" s="30"/>
      <c r="L151" s="23" t="s">
        <v>20</v>
      </c>
      <c r="M151" s="3" t="e">
        <f>VLOOKUP($D147,$D161:$G175,3,FALSE)</f>
        <v>#N/A</v>
      </c>
      <c r="N151" s="17" t="e">
        <f>VLOOKUP($D147,$D161:$G175,4,FALSE)</f>
        <v>#N/A</v>
      </c>
      <c r="O151" s="26" t="e">
        <f>N151-N150</f>
        <v>#N/A</v>
      </c>
      <c r="P151" s="16"/>
      <c r="Q151" s="49"/>
      <c r="R151" s="50"/>
      <c r="S151" s="40"/>
      <c r="T151" s="40"/>
      <c r="U151" s="40"/>
      <c r="V151" s="40"/>
      <c r="W151" s="41"/>
      <c r="X151" s="16"/>
      <c r="Y151" s="2"/>
      <c r="Z151" s="30"/>
      <c r="AA151" s="23" t="s">
        <v>20</v>
      </c>
      <c r="AB151" s="3" t="e">
        <f>VLOOKUP($T147,$T161:$W175,3,FALSE)</f>
        <v>#N/A</v>
      </c>
      <c r="AC151" s="17" t="e">
        <f>VLOOKUP($T147,$T161:$W175,4,FALSE)</f>
        <v>#N/A</v>
      </c>
      <c r="AD151" s="26" t="e">
        <f>AC151-AC150</f>
        <v>#N/A</v>
      </c>
      <c r="AE151" s="16"/>
    </row>
    <row r="152" spans="1:33" ht="14.25" thickTop="1" thickBot="1">
      <c r="A152" s="47"/>
      <c r="B152" s="50"/>
      <c r="C152" s="40"/>
      <c r="D152" s="40"/>
      <c r="E152" s="40"/>
      <c r="F152" s="40"/>
      <c r="G152" s="41"/>
      <c r="H152" s="18">
        <v>6165</v>
      </c>
      <c r="I152" s="51"/>
      <c r="J152" s="51"/>
      <c r="K152" s="29">
        <f>D148</f>
        <v>0</v>
      </c>
      <c r="L152" s="70">
        <f>E148</f>
        <v>0</v>
      </c>
      <c r="M152" s="3">
        <f>F148</f>
        <v>0</v>
      </c>
      <c r="N152" s="17">
        <f>G148</f>
        <v>0</v>
      </c>
      <c r="O152" s="20" t="e">
        <f>M153-M152</f>
        <v>#N/A</v>
      </c>
      <c r="P152" s="16"/>
      <c r="Q152" s="49"/>
      <c r="R152" s="50"/>
      <c r="S152" s="40"/>
      <c r="T152" s="40"/>
      <c r="U152" s="40"/>
      <c r="V152" s="40"/>
      <c r="W152" s="41"/>
      <c r="X152" s="16"/>
      <c r="Y152" s="6"/>
      <c r="Z152" s="29">
        <f>T148</f>
        <v>0</v>
      </c>
      <c r="AA152" s="70">
        <f>U148</f>
        <v>0</v>
      </c>
      <c r="AB152" s="3">
        <f>V148</f>
        <v>0</v>
      </c>
      <c r="AC152" s="17">
        <f>W148</f>
        <v>0</v>
      </c>
      <c r="AD152" s="20" t="e">
        <f>AB153-AB152</f>
        <v>#N/A</v>
      </c>
      <c r="AE152" s="16"/>
    </row>
    <row r="153" spans="1:33" ht="14.25" thickTop="1" thickBot="1">
      <c r="A153" s="47"/>
      <c r="B153" s="50"/>
      <c r="C153" s="40"/>
      <c r="D153" s="40"/>
      <c r="E153" s="40"/>
      <c r="F153" s="40"/>
      <c r="G153" s="41"/>
      <c r="H153" s="18">
        <v>6010</v>
      </c>
      <c r="I153" s="51"/>
      <c r="J153" s="51"/>
      <c r="K153" s="30"/>
      <c r="L153" s="23" t="s">
        <v>20</v>
      </c>
      <c r="M153" s="3" t="e">
        <f>VLOOKUP($D148,$D161:$G175,3,FALSE)</f>
        <v>#N/A</v>
      </c>
      <c r="N153" s="17" t="e">
        <f>VLOOKUP($D148,$D161:$G175,4,FALSE)</f>
        <v>#N/A</v>
      </c>
      <c r="O153" s="26" t="e">
        <f>N153-N152</f>
        <v>#N/A</v>
      </c>
      <c r="P153" s="16"/>
      <c r="Q153" s="49"/>
      <c r="R153" s="50"/>
      <c r="S153" s="40"/>
      <c r="T153" s="40"/>
      <c r="U153" s="40"/>
      <c r="V153" s="40"/>
      <c r="W153" s="41"/>
      <c r="X153" s="16"/>
      <c r="Y153" s="2"/>
      <c r="Z153" s="30"/>
      <c r="AA153" s="23" t="s">
        <v>20</v>
      </c>
      <c r="AB153" s="3" t="e">
        <f>VLOOKUP($T148,$T161:$W175,3,FALSE)</f>
        <v>#N/A</v>
      </c>
      <c r="AC153" s="17" t="e">
        <f>VLOOKUP($T148,$T161:$W175,4,FALSE)</f>
        <v>#N/A</v>
      </c>
      <c r="AD153" s="26" t="e">
        <f>AC153-AC152</f>
        <v>#N/A</v>
      </c>
      <c r="AE153" s="16"/>
    </row>
    <row r="154" spans="1:33" ht="14.25" thickTop="1" thickBot="1">
      <c r="A154" s="47"/>
      <c r="B154" s="50"/>
      <c r="C154" s="40"/>
      <c r="D154" s="40"/>
      <c r="E154" s="40"/>
      <c r="F154" s="40"/>
      <c r="G154" s="41"/>
      <c r="H154" s="2"/>
      <c r="I154" s="51"/>
      <c r="J154" s="51"/>
      <c r="K154" s="19">
        <f>D149</f>
        <v>0</v>
      </c>
      <c r="L154" s="70">
        <f>E149</f>
        <v>0</v>
      </c>
      <c r="M154" s="3">
        <f>F149</f>
        <v>0</v>
      </c>
      <c r="N154" s="17">
        <f>G149</f>
        <v>0</v>
      </c>
      <c r="O154" s="20" t="e">
        <f>M155-M154</f>
        <v>#N/A</v>
      </c>
      <c r="P154" s="16"/>
      <c r="Q154" s="49"/>
      <c r="R154" s="50"/>
      <c r="S154" s="40"/>
      <c r="T154" s="40"/>
      <c r="U154" s="40"/>
      <c r="V154" s="40"/>
      <c r="W154" s="41"/>
      <c r="X154" s="16"/>
      <c r="Y154" s="6"/>
      <c r="Z154" s="19">
        <f>T149</f>
        <v>0</v>
      </c>
      <c r="AA154" s="70">
        <f>U149</f>
        <v>0</v>
      </c>
      <c r="AB154" s="3">
        <f>V149</f>
        <v>0</v>
      </c>
      <c r="AC154" s="17">
        <f>W149</f>
        <v>0</v>
      </c>
      <c r="AD154" s="20" t="e">
        <f>AB155-AB154</f>
        <v>#N/A</v>
      </c>
      <c r="AE154" s="16"/>
    </row>
    <row r="155" spans="1:33" ht="14.25" thickTop="1" thickBot="1">
      <c r="A155" s="47"/>
      <c r="B155" s="50"/>
      <c r="C155" s="40"/>
      <c r="D155" s="40"/>
      <c r="E155" s="40"/>
      <c r="F155" s="40"/>
      <c r="G155" s="41"/>
      <c r="H155" s="2"/>
      <c r="I155" s="51"/>
      <c r="J155" s="51"/>
      <c r="K155" s="30"/>
      <c r="L155" s="23" t="s">
        <v>20</v>
      </c>
      <c r="M155" s="3" t="e">
        <f>VLOOKUP($D149,$D161:$G175,3,FALSE)</f>
        <v>#N/A</v>
      </c>
      <c r="N155" s="17" t="e">
        <f>VLOOKUP($D149,$D161:$G175,4,FALSE)</f>
        <v>#N/A</v>
      </c>
      <c r="O155" s="26" t="e">
        <f>N155-N154</f>
        <v>#N/A</v>
      </c>
      <c r="P155" s="16"/>
      <c r="Q155" s="49"/>
      <c r="R155" s="50"/>
      <c r="S155" s="40"/>
      <c r="T155" s="40"/>
      <c r="U155" s="40"/>
      <c r="V155" s="40"/>
      <c r="W155" s="41"/>
      <c r="X155" s="16"/>
      <c r="Y155" s="2"/>
      <c r="Z155" s="30"/>
      <c r="AA155" s="23" t="s">
        <v>20</v>
      </c>
      <c r="AB155" s="3" t="e">
        <f>VLOOKUP($T149,$T161:$W175,3,FALSE)</f>
        <v>#N/A</v>
      </c>
      <c r="AC155" s="17" t="e">
        <f>VLOOKUP($T149,$T161:$W175,4,FALSE)</f>
        <v>#N/A</v>
      </c>
      <c r="AD155" s="26" t="e">
        <f>AC155-AC154</f>
        <v>#N/A</v>
      </c>
      <c r="AE155" s="16"/>
    </row>
    <row r="156" spans="1:33" ht="14.25" thickTop="1" thickBot="1">
      <c r="A156" s="47"/>
      <c r="B156" s="50"/>
      <c r="H156" s="2"/>
      <c r="I156" s="51"/>
      <c r="J156" s="51"/>
      <c r="K156" s="19">
        <f>D150</f>
        <v>0</v>
      </c>
      <c r="L156" s="70">
        <f>E150</f>
        <v>0</v>
      </c>
      <c r="M156" s="3">
        <f>F150</f>
        <v>0</v>
      </c>
      <c r="N156" s="17">
        <f>G150</f>
        <v>0</v>
      </c>
      <c r="O156" s="20" t="e">
        <f>M157-M156</f>
        <v>#N/A</v>
      </c>
      <c r="P156" s="16"/>
      <c r="Q156" s="49"/>
      <c r="R156" s="50"/>
      <c r="W156" s="1"/>
      <c r="X156" s="16"/>
      <c r="Y156" s="6"/>
      <c r="Z156" s="19">
        <f>T150</f>
        <v>0</v>
      </c>
      <c r="AA156" s="70">
        <f>U150</f>
        <v>0</v>
      </c>
      <c r="AB156" s="3">
        <f>V150</f>
        <v>0</v>
      </c>
      <c r="AC156" s="17">
        <f>W150</f>
        <v>0</v>
      </c>
      <c r="AD156" s="20" t="e">
        <f>AB157-AB156</f>
        <v>#N/A</v>
      </c>
      <c r="AE156" s="16"/>
    </row>
    <row r="157" spans="1:33" ht="14.25" thickTop="1" thickBot="1">
      <c r="A157" s="47"/>
      <c r="B157" s="50"/>
      <c r="H157" s="2"/>
      <c r="I157" s="51"/>
      <c r="J157" s="51"/>
      <c r="K157" s="30"/>
      <c r="L157" s="23" t="s">
        <v>20</v>
      </c>
      <c r="M157" s="3" t="e">
        <f>VLOOKUP($D150,$D161:$G175,3,FALSE)</f>
        <v>#N/A</v>
      </c>
      <c r="N157" s="17" t="e">
        <f>VLOOKUP($D150,$D161:$G175,4,FALSE)</f>
        <v>#N/A</v>
      </c>
      <c r="O157" s="26" t="e">
        <f>N157-N156</f>
        <v>#N/A</v>
      </c>
      <c r="P157" s="16"/>
      <c r="Q157" s="49"/>
      <c r="R157" s="50"/>
      <c r="W157" s="1"/>
      <c r="X157" s="16"/>
      <c r="Y157" s="2"/>
      <c r="Z157" s="30"/>
      <c r="AA157" s="23" t="s">
        <v>20</v>
      </c>
      <c r="AB157" s="3" t="e">
        <f>VLOOKUP($T150,$T161:$W175,3,FALSE)</f>
        <v>#N/A</v>
      </c>
      <c r="AC157" s="17" t="e">
        <f>VLOOKUP($T150,$T161:$W175,4,FALSE)</f>
        <v>#N/A</v>
      </c>
      <c r="AD157" s="26" t="e">
        <f>AC157-AC156</f>
        <v>#N/A</v>
      </c>
      <c r="AE157" s="16"/>
    </row>
    <row r="158" spans="1:33" ht="14.25" thickTop="1" thickBot="1">
      <c r="A158" s="47"/>
      <c r="B158" s="50"/>
      <c r="H158" s="2"/>
      <c r="I158" s="51"/>
      <c r="J158" s="51"/>
      <c r="K158" s="19">
        <f>D151</f>
        <v>0</v>
      </c>
      <c r="L158" s="70">
        <f>E151</f>
        <v>0</v>
      </c>
      <c r="M158" s="21">
        <f>F151</f>
        <v>0</v>
      </c>
      <c r="N158" s="22">
        <f>G151</f>
        <v>0</v>
      </c>
      <c r="O158" s="20" t="e">
        <f>M159-M158</f>
        <v>#N/A</v>
      </c>
      <c r="P158" s="16"/>
      <c r="Q158" s="49"/>
      <c r="R158" s="50"/>
      <c r="W158" s="1"/>
      <c r="X158" s="16"/>
      <c r="Y158" s="6"/>
      <c r="Z158" s="19">
        <f>T151</f>
        <v>0</v>
      </c>
      <c r="AA158" s="70">
        <f>U151</f>
        <v>0</v>
      </c>
      <c r="AB158" s="21">
        <f>V151</f>
        <v>0</v>
      </c>
      <c r="AC158" s="22">
        <f>W151</f>
        <v>0</v>
      </c>
      <c r="AD158" s="20" t="e">
        <f>AB159-AB158</f>
        <v>#N/A</v>
      </c>
      <c r="AE158" s="16"/>
    </row>
    <row r="159" spans="1:33" ht="14.25" thickTop="1" thickBot="1">
      <c r="A159" s="47"/>
      <c r="B159" s="48"/>
      <c r="C159" s="32"/>
      <c r="D159" s="32" t="s">
        <v>46</v>
      </c>
      <c r="E159" s="42"/>
      <c r="F159" s="32" t="s">
        <v>47</v>
      </c>
      <c r="G159" s="33"/>
      <c r="H159" s="2"/>
      <c r="I159" s="51"/>
      <c r="J159" s="51"/>
      <c r="K159" s="30"/>
      <c r="L159" s="23" t="s">
        <v>20</v>
      </c>
      <c r="M159" s="3" t="e">
        <f>VLOOKUP($D151,$D161:$G175,3,FALSE)</f>
        <v>#N/A</v>
      </c>
      <c r="N159" s="17" t="e">
        <f>VLOOKUP($D151,$D161:$G175,4,FALSE)</f>
        <v>#N/A</v>
      </c>
      <c r="O159" s="26" t="e">
        <f>N159-N158</f>
        <v>#N/A</v>
      </c>
      <c r="P159" s="16"/>
      <c r="Q159" s="49"/>
      <c r="R159" s="48"/>
      <c r="S159" s="32"/>
      <c r="T159" s="32" t="s">
        <v>46</v>
      </c>
      <c r="U159" s="42"/>
      <c r="V159" s="32" t="s">
        <v>47</v>
      </c>
      <c r="W159" s="33"/>
      <c r="X159" s="16"/>
      <c r="Y159" s="2"/>
      <c r="Z159" s="30"/>
      <c r="AA159" s="23" t="s">
        <v>20</v>
      </c>
      <c r="AB159" s="3" t="e">
        <f>VLOOKUP($T151,$T161:$W175,3,FALSE)</f>
        <v>#N/A</v>
      </c>
      <c r="AC159" s="17" t="e">
        <f>VLOOKUP($T151,$T161:$W175,4,FALSE)</f>
        <v>#N/A</v>
      </c>
      <c r="AD159" s="26" t="e">
        <f>AC159-AC158</f>
        <v>#N/A</v>
      </c>
      <c r="AE159" s="16"/>
    </row>
    <row r="160" spans="1:33" ht="14.25" thickTop="1" thickBot="1">
      <c r="A160" s="47"/>
      <c r="B160" s="51"/>
      <c r="C160" s="8" t="s">
        <v>36</v>
      </c>
      <c r="D160" s="8" t="s">
        <v>18</v>
      </c>
      <c r="E160" s="8" t="s">
        <v>14</v>
      </c>
      <c r="F160" s="8" t="s">
        <v>15</v>
      </c>
      <c r="G160" s="8" t="s">
        <v>16</v>
      </c>
      <c r="H160" s="2"/>
      <c r="I160" s="51"/>
      <c r="J160" s="51"/>
      <c r="K160" s="29">
        <f>D152</f>
        <v>0</v>
      </c>
      <c r="L160" s="70">
        <f>E152</f>
        <v>0</v>
      </c>
      <c r="M160" s="3">
        <f>F152</f>
        <v>0</v>
      </c>
      <c r="N160" s="17">
        <f>G152</f>
        <v>0</v>
      </c>
      <c r="O160" s="20" t="e">
        <f>M161-M160</f>
        <v>#N/A</v>
      </c>
      <c r="P160" s="16"/>
      <c r="Q160" s="49"/>
      <c r="R160" s="51"/>
      <c r="S160" s="8" t="s">
        <v>36</v>
      </c>
      <c r="T160" s="8" t="s">
        <v>18</v>
      </c>
      <c r="U160" s="8" t="s">
        <v>14</v>
      </c>
      <c r="V160" s="8" t="s">
        <v>15</v>
      </c>
      <c r="W160" s="8" t="s">
        <v>16</v>
      </c>
      <c r="X160" s="16"/>
      <c r="Y160" s="6"/>
      <c r="Z160" s="29">
        <f>T152</f>
        <v>0</v>
      </c>
      <c r="AA160" s="70">
        <f>U152</f>
        <v>0</v>
      </c>
      <c r="AB160" s="3">
        <f>V152</f>
        <v>0</v>
      </c>
      <c r="AC160" s="17">
        <f>W152</f>
        <v>0</v>
      </c>
      <c r="AD160" s="20" t="e">
        <f>AB161-AB160</f>
        <v>#N/A</v>
      </c>
      <c r="AE160" s="16"/>
    </row>
    <row r="161" spans="1:31" ht="14.25" thickTop="1" thickBot="1">
      <c r="A161" s="47"/>
      <c r="B161" s="50"/>
      <c r="C161" s="40"/>
      <c r="D161" s="40"/>
      <c r="E161" s="40"/>
      <c r="F161" s="41"/>
      <c r="G161" s="41"/>
      <c r="H161" s="2"/>
      <c r="I161" s="51"/>
      <c r="J161" s="51"/>
      <c r="K161" s="30"/>
      <c r="L161" s="23" t="s">
        <v>20</v>
      </c>
      <c r="M161" s="3" t="e">
        <f>VLOOKUP($D152,$D161:$G175,3,FALSE)</f>
        <v>#N/A</v>
      </c>
      <c r="N161" s="17" t="e">
        <f>VLOOKUP($D152,$D161:$G175,4,FALSE)</f>
        <v>#N/A</v>
      </c>
      <c r="O161" s="26" t="e">
        <f>N161-N160</f>
        <v>#N/A</v>
      </c>
      <c r="P161" s="16"/>
      <c r="Q161" s="49"/>
      <c r="R161" s="50"/>
      <c r="S161" s="40"/>
      <c r="T161" s="40"/>
      <c r="U161" s="40"/>
      <c r="V161" s="41"/>
      <c r="W161" s="41"/>
      <c r="X161" s="16"/>
      <c r="Y161" s="2"/>
      <c r="Z161" s="30"/>
      <c r="AA161" s="23" t="s">
        <v>20</v>
      </c>
      <c r="AB161" s="3" t="e">
        <f>VLOOKUP($T152,$T161:$W175,3,FALSE)</f>
        <v>#N/A</v>
      </c>
      <c r="AC161" s="17" t="e">
        <f>VLOOKUP($T152,$T161:$W175,4,FALSE)</f>
        <v>#N/A</v>
      </c>
      <c r="AD161" s="26" t="e">
        <f>AC161-AC160</f>
        <v>#N/A</v>
      </c>
      <c r="AE161" s="16"/>
    </row>
    <row r="162" spans="1:31" ht="14.25" thickTop="1" thickBot="1">
      <c r="A162" s="47"/>
      <c r="B162" s="50"/>
      <c r="C162" s="40"/>
      <c r="D162" s="40"/>
      <c r="E162" s="40"/>
      <c r="F162" s="41"/>
      <c r="G162" s="41"/>
      <c r="H162" s="2"/>
      <c r="I162" s="51"/>
      <c r="J162" s="51"/>
      <c r="K162" s="19">
        <f>D153</f>
        <v>0</v>
      </c>
      <c r="L162" s="70">
        <f>E153</f>
        <v>0</v>
      </c>
      <c r="M162" s="3">
        <f>F153</f>
        <v>0</v>
      </c>
      <c r="N162" s="17">
        <f>G153</f>
        <v>0</v>
      </c>
      <c r="O162" s="20" t="e">
        <f>M163-M162</f>
        <v>#N/A</v>
      </c>
      <c r="P162" s="16"/>
      <c r="Q162" s="49"/>
      <c r="R162" s="50"/>
      <c r="S162" s="40"/>
      <c r="T162" s="40"/>
      <c r="U162" s="40"/>
      <c r="V162" s="41"/>
      <c r="W162" s="41"/>
      <c r="X162" s="16"/>
      <c r="Y162" s="6"/>
      <c r="Z162" s="19">
        <f>T153</f>
        <v>0</v>
      </c>
      <c r="AA162" s="70">
        <f>U153</f>
        <v>0</v>
      </c>
      <c r="AB162" s="3">
        <f>V153</f>
        <v>0</v>
      </c>
      <c r="AC162" s="17">
        <f>W153</f>
        <v>0</v>
      </c>
      <c r="AD162" s="20" t="e">
        <f>AB163-AB162</f>
        <v>#N/A</v>
      </c>
      <c r="AE162" s="16"/>
    </row>
    <row r="163" spans="1:31" ht="14.25" thickTop="1" thickBot="1">
      <c r="A163" s="47"/>
      <c r="B163" s="50"/>
      <c r="C163" s="40"/>
      <c r="D163" s="40"/>
      <c r="E163" s="40"/>
      <c r="F163" s="41"/>
      <c r="G163" s="41"/>
      <c r="H163" s="2"/>
      <c r="I163" s="51"/>
      <c r="J163" s="51"/>
      <c r="K163" s="30"/>
      <c r="L163" s="23" t="s">
        <v>20</v>
      </c>
      <c r="M163" s="3" t="e">
        <f>VLOOKUP($D153,$D161:$G175,3,FALSE)</f>
        <v>#N/A</v>
      </c>
      <c r="N163" s="17" t="e">
        <f>VLOOKUP($D153,$D161:$G175,4,FALSE)</f>
        <v>#N/A</v>
      </c>
      <c r="O163" s="26" t="e">
        <f>N163-N162</f>
        <v>#N/A</v>
      </c>
      <c r="P163" s="16"/>
      <c r="Q163" s="49"/>
      <c r="R163" s="50"/>
      <c r="S163" s="40"/>
      <c r="T163" s="40"/>
      <c r="U163" s="40"/>
      <c r="V163" s="41"/>
      <c r="W163" s="41"/>
      <c r="X163" s="16"/>
      <c r="Y163" s="2"/>
      <c r="Z163" s="30"/>
      <c r="AA163" s="23" t="s">
        <v>20</v>
      </c>
      <c r="AB163" s="3" t="e">
        <f>VLOOKUP($T153,$T161:$W175,3,FALSE)</f>
        <v>#N/A</v>
      </c>
      <c r="AC163" s="17" t="e">
        <f>VLOOKUP($T153,$T161:$W175,4,FALSE)</f>
        <v>#N/A</v>
      </c>
      <c r="AD163" s="26" t="e">
        <f>AC163-AC162</f>
        <v>#N/A</v>
      </c>
      <c r="AE163" s="16"/>
    </row>
    <row r="164" spans="1:31" ht="14.25" thickTop="1" thickBot="1">
      <c r="A164" s="47"/>
      <c r="B164" s="50"/>
      <c r="C164" s="40"/>
      <c r="D164" s="40"/>
      <c r="E164" s="40"/>
      <c r="F164" s="40"/>
      <c r="G164" s="41"/>
      <c r="H164" s="2"/>
      <c r="I164" s="51"/>
      <c r="J164" s="51"/>
      <c r="K164" s="19">
        <f>D154</f>
        <v>0</v>
      </c>
      <c r="L164" s="70">
        <f>E154</f>
        <v>0</v>
      </c>
      <c r="M164" s="3">
        <f>F154</f>
        <v>0</v>
      </c>
      <c r="N164" s="17">
        <f>G154</f>
        <v>0</v>
      </c>
      <c r="O164" s="20" t="e">
        <f>M165-M164</f>
        <v>#N/A</v>
      </c>
      <c r="P164" s="16"/>
      <c r="Q164" s="49"/>
      <c r="R164" s="50"/>
      <c r="S164" s="40"/>
      <c r="T164" s="40"/>
      <c r="U164" s="40"/>
      <c r="V164" s="41"/>
      <c r="W164" s="41"/>
      <c r="X164" s="16"/>
      <c r="Y164" s="6"/>
      <c r="Z164" s="19">
        <f>T154</f>
        <v>0</v>
      </c>
      <c r="AA164" s="70">
        <f>U154</f>
        <v>0</v>
      </c>
      <c r="AB164" s="3">
        <f>V154</f>
        <v>0</v>
      </c>
      <c r="AC164" s="17">
        <f>W154</f>
        <v>0</v>
      </c>
      <c r="AD164" s="20" t="e">
        <f>AB165-AB164</f>
        <v>#N/A</v>
      </c>
      <c r="AE164" s="16"/>
    </row>
    <row r="165" spans="1:31" ht="14.25" thickTop="1" thickBot="1">
      <c r="A165" s="47"/>
      <c r="B165" s="50"/>
      <c r="C165" s="40"/>
      <c r="D165" s="40"/>
      <c r="E165" s="40"/>
      <c r="F165" s="40"/>
      <c r="G165" s="41"/>
      <c r="H165" s="2"/>
      <c r="I165" s="51"/>
      <c r="J165" s="51"/>
      <c r="K165" s="30"/>
      <c r="L165" s="23" t="s">
        <v>20</v>
      </c>
      <c r="M165" s="3" t="e">
        <f>VLOOKUP($D154,$D161:$G175,3,FALSE)</f>
        <v>#N/A</v>
      </c>
      <c r="N165" s="17" t="e">
        <f>VLOOKUP($D154,$D161:$G175,4,FALSE)</f>
        <v>#N/A</v>
      </c>
      <c r="O165" s="26" t="e">
        <f>N165-N164</f>
        <v>#N/A</v>
      </c>
      <c r="P165" s="16"/>
      <c r="Q165" s="49"/>
      <c r="R165" s="50"/>
      <c r="S165" s="40"/>
      <c r="T165" s="40"/>
      <c r="U165" s="40"/>
      <c r="V165" s="40"/>
      <c r="W165" s="41"/>
      <c r="X165" s="16"/>
      <c r="Y165" s="2"/>
      <c r="Z165" s="30"/>
      <c r="AA165" s="23" t="s">
        <v>20</v>
      </c>
      <c r="AB165" s="3" t="e">
        <f>VLOOKUP($T154,$T161:$W175,3,FALSE)</f>
        <v>#N/A</v>
      </c>
      <c r="AC165" s="17" t="e">
        <f>VLOOKUP($T154,$T161:$W175,4,FALSE)</f>
        <v>#N/A</v>
      </c>
      <c r="AD165" s="26" t="e">
        <f>AC165-AC164</f>
        <v>#N/A</v>
      </c>
      <c r="AE165" s="16"/>
    </row>
    <row r="166" spans="1:31" ht="14.25" thickTop="1" thickBot="1">
      <c r="A166" s="47"/>
      <c r="B166" s="50"/>
      <c r="C166" s="40"/>
      <c r="D166" s="40"/>
      <c r="E166" s="40"/>
      <c r="F166" s="40"/>
      <c r="G166" s="41"/>
      <c r="H166" s="2"/>
      <c r="I166" s="51"/>
      <c r="J166" s="51"/>
      <c r="K166" s="19">
        <f>D155</f>
        <v>0</v>
      </c>
      <c r="L166" s="70">
        <f>E155</f>
        <v>0</v>
      </c>
      <c r="M166" s="3">
        <f>F155</f>
        <v>0</v>
      </c>
      <c r="N166" s="17">
        <f>G155</f>
        <v>0</v>
      </c>
      <c r="O166" s="20" t="e">
        <f>M167-M166</f>
        <v>#N/A</v>
      </c>
      <c r="P166" s="16"/>
      <c r="Q166" s="49"/>
      <c r="R166" s="50"/>
      <c r="S166" s="40"/>
      <c r="T166" s="40"/>
      <c r="U166" s="40"/>
      <c r="V166" s="40"/>
      <c r="W166" s="41"/>
      <c r="X166" s="16"/>
      <c r="Y166" s="6"/>
      <c r="Z166" s="19">
        <f>T155</f>
        <v>0</v>
      </c>
      <c r="AA166" s="70">
        <f>U155</f>
        <v>0</v>
      </c>
      <c r="AB166" s="3">
        <f>V155</f>
        <v>0</v>
      </c>
      <c r="AC166" s="17">
        <f>W155</f>
        <v>0</v>
      </c>
      <c r="AD166" s="20" t="e">
        <f>AB167-AB166</f>
        <v>#N/A</v>
      </c>
      <c r="AE166" s="16"/>
    </row>
    <row r="167" spans="1:31" ht="14.25" thickTop="1" thickBot="1">
      <c r="A167" s="47"/>
      <c r="B167" s="50"/>
      <c r="C167" s="40"/>
      <c r="D167" s="40"/>
      <c r="E167" s="40"/>
      <c r="F167" s="40"/>
      <c r="G167" s="41"/>
      <c r="H167" s="2"/>
      <c r="I167" s="51"/>
      <c r="J167" s="51"/>
      <c r="K167" s="30"/>
      <c r="L167" s="23" t="s">
        <v>20</v>
      </c>
      <c r="M167" s="3" t="e">
        <f>VLOOKUP($D155,$D161:$G175,3,FALSE)</f>
        <v>#N/A</v>
      </c>
      <c r="N167" s="17" t="e">
        <f>VLOOKUP($D155,$D161:$G175,4,FALSE)</f>
        <v>#N/A</v>
      </c>
      <c r="O167" s="26" t="e">
        <f>N167-N166</f>
        <v>#N/A</v>
      </c>
      <c r="P167" s="16"/>
      <c r="Q167" s="49"/>
      <c r="R167" s="50"/>
      <c r="S167" s="40"/>
      <c r="T167" s="40"/>
      <c r="U167" s="40"/>
      <c r="V167" s="40"/>
      <c r="W167" s="41"/>
      <c r="X167" s="16"/>
      <c r="Y167" s="2"/>
      <c r="Z167" s="30"/>
      <c r="AA167" s="23" t="s">
        <v>20</v>
      </c>
      <c r="AB167" s="3" t="e">
        <f>VLOOKUP($T155,$T161:$W175,3,FALSE)</f>
        <v>#N/A</v>
      </c>
      <c r="AC167" s="17" t="e">
        <f>VLOOKUP($T155,$T161:$W175,4,FALSE)</f>
        <v>#N/A</v>
      </c>
      <c r="AD167" s="26" t="e">
        <f>AC167-AC166</f>
        <v>#N/A</v>
      </c>
      <c r="AE167" s="16"/>
    </row>
    <row r="168" spans="1:31" ht="14.25" thickTop="1" thickBot="1">
      <c r="A168" s="47"/>
      <c r="B168" s="50"/>
      <c r="C168" s="40"/>
      <c r="D168" s="40"/>
      <c r="E168" s="40"/>
      <c r="F168" s="40"/>
      <c r="G168" s="41"/>
      <c r="H168" s="2"/>
      <c r="I168" s="51"/>
      <c r="J168" s="51"/>
      <c r="K168" s="29">
        <f>D156</f>
        <v>0</v>
      </c>
      <c r="L168" s="70">
        <f>E156</f>
        <v>0</v>
      </c>
      <c r="M168" s="3">
        <f>F156</f>
        <v>0</v>
      </c>
      <c r="N168" s="17">
        <f>G156</f>
        <v>0</v>
      </c>
      <c r="O168" s="20" t="e">
        <f>M169-M168</f>
        <v>#N/A</v>
      </c>
      <c r="P168" s="16"/>
      <c r="Q168" s="49"/>
      <c r="R168" s="50"/>
      <c r="S168" s="40"/>
      <c r="T168" s="40"/>
      <c r="U168" s="40"/>
      <c r="V168" s="40"/>
      <c r="W168" s="41"/>
      <c r="X168" s="16"/>
      <c r="Y168" s="6"/>
      <c r="Z168" s="29">
        <f>T156</f>
        <v>0</v>
      </c>
      <c r="AA168" s="70">
        <f>U156</f>
        <v>0</v>
      </c>
      <c r="AB168" s="3">
        <f>V156</f>
        <v>0</v>
      </c>
      <c r="AC168" s="17">
        <f>W156</f>
        <v>0</v>
      </c>
      <c r="AD168" s="20" t="e">
        <f>AB169-AB168</f>
        <v>#N/A</v>
      </c>
      <c r="AE168" s="16"/>
    </row>
    <row r="169" spans="1:31" ht="14.25" thickTop="1" thickBot="1">
      <c r="A169" s="47"/>
      <c r="B169" s="50"/>
      <c r="C169" s="40"/>
      <c r="D169" s="40"/>
      <c r="E169" s="40"/>
      <c r="F169" s="40"/>
      <c r="G169" s="41"/>
      <c r="H169" s="2"/>
      <c r="I169" s="51"/>
      <c r="J169" s="51"/>
      <c r="K169" s="30"/>
      <c r="L169" s="23" t="s">
        <v>20</v>
      </c>
      <c r="M169" s="3" t="e">
        <f>VLOOKUP($D156,$D161:$G175,3,FALSE)</f>
        <v>#N/A</v>
      </c>
      <c r="N169" s="17" t="e">
        <f>VLOOKUP($D156,$D161:$G175,4,FALSE)</f>
        <v>#N/A</v>
      </c>
      <c r="O169" s="26" t="e">
        <f>N169-N168</f>
        <v>#N/A</v>
      </c>
      <c r="P169" s="16"/>
      <c r="Q169" s="49"/>
      <c r="R169" s="50"/>
      <c r="S169" s="40"/>
      <c r="T169" s="40"/>
      <c r="U169" s="40"/>
      <c r="V169" s="40"/>
      <c r="W169" s="41"/>
      <c r="X169" s="16"/>
      <c r="Y169" s="2"/>
      <c r="Z169" s="30"/>
      <c r="AA169" s="23" t="s">
        <v>20</v>
      </c>
      <c r="AB169" s="3" t="e">
        <f>VLOOKUP($T156,$T161:$W175,3,FALSE)</f>
        <v>#N/A</v>
      </c>
      <c r="AC169" s="17" t="e">
        <f>VLOOKUP($T156,$T161:$W175,4,FALSE)</f>
        <v>#N/A</v>
      </c>
      <c r="AD169" s="26" t="e">
        <f>AC169-AC168</f>
        <v>#N/A</v>
      </c>
      <c r="AE169" s="16"/>
    </row>
    <row r="170" spans="1:31" ht="14.25" thickTop="1" thickBot="1">
      <c r="A170" s="47"/>
      <c r="B170" s="50"/>
      <c r="C170" s="40"/>
      <c r="D170" s="40"/>
      <c r="E170" s="40"/>
      <c r="F170" s="40"/>
      <c r="G170" s="41"/>
      <c r="H170" s="2"/>
      <c r="I170" s="51"/>
      <c r="J170" s="51"/>
      <c r="K170" s="19">
        <f>D157</f>
        <v>0</v>
      </c>
      <c r="L170" s="70">
        <f>E157</f>
        <v>0</v>
      </c>
      <c r="M170" s="3">
        <f>F157</f>
        <v>0</v>
      </c>
      <c r="N170" s="17">
        <f>G157</f>
        <v>0</v>
      </c>
      <c r="O170" s="20" t="e">
        <f>M171-M170</f>
        <v>#N/A</v>
      </c>
      <c r="P170" s="16"/>
      <c r="Q170" s="49"/>
      <c r="R170" s="50"/>
      <c r="S170" s="40"/>
      <c r="T170" s="40"/>
      <c r="U170" s="40"/>
      <c r="V170" s="40"/>
      <c r="W170" s="41"/>
      <c r="X170" s="16"/>
      <c r="Y170" s="6"/>
      <c r="Z170" s="19">
        <f>T157</f>
        <v>0</v>
      </c>
      <c r="AA170" s="70">
        <f>U157</f>
        <v>0</v>
      </c>
      <c r="AB170" s="3">
        <f>V157</f>
        <v>0</v>
      </c>
      <c r="AC170" s="17">
        <f>W157</f>
        <v>0</v>
      </c>
      <c r="AD170" s="20" t="e">
        <f>AB171-AB170</f>
        <v>#N/A</v>
      </c>
      <c r="AE170" s="16"/>
    </row>
    <row r="171" spans="1:31" ht="14.25" thickTop="1" thickBot="1">
      <c r="A171" s="47"/>
      <c r="B171" s="50"/>
      <c r="C171" s="40"/>
      <c r="D171" s="40"/>
      <c r="E171" s="40"/>
      <c r="F171" s="40"/>
      <c r="G171" s="41"/>
      <c r="H171" s="2"/>
      <c r="I171" s="51"/>
      <c r="J171" s="51"/>
      <c r="K171" s="30"/>
      <c r="L171" s="23" t="s">
        <v>20</v>
      </c>
      <c r="M171" s="3" t="e">
        <f>VLOOKUP($D157,$D161:$G175,3,FALSE)</f>
        <v>#N/A</v>
      </c>
      <c r="N171" s="17" t="e">
        <f>VLOOKUP($D157,$D161:$G175,4,FALSE)</f>
        <v>#N/A</v>
      </c>
      <c r="O171" s="26" t="e">
        <f>N171-N170</f>
        <v>#N/A</v>
      </c>
      <c r="P171" s="16"/>
      <c r="Q171" s="49"/>
      <c r="R171" s="50"/>
      <c r="S171" s="40"/>
      <c r="T171" s="40"/>
      <c r="U171" s="40"/>
      <c r="V171" s="40"/>
      <c r="W171" s="41"/>
      <c r="X171" s="16"/>
      <c r="Y171" s="2"/>
      <c r="Z171" s="30"/>
      <c r="AA171" s="23" t="s">
        <v>20</v>
      </c>
      <c r="AB171" s="3" t="e">
        <f>VLOOKUP($T157,$T161:$W175,3,FALSE)</f>
        <v>#N/A</v>
      </c>
      <c r="AC171" s="17" t="e">
        <f>VLOOKUP($T157,$T161:$W175,4,FALSE)</f>
        <v>#N/A</v>
      </c>
      <c r="AD171" s="26" t="e">
        <f>AC171-AC170</f>
        <v>#N/A</v>
      </c>
      <c r="AE171" s="16"/>
    </row>
    <row r="172" spans="1:31" ht="14.25" thickTop="1" thickBot="1">
      <c r="A172" s="47"/>
      <c r="B172" s="50"/>
      <c r="C172" s="40"/>
      <c r="D172" s="40"/>
      <c r="E172" s="40"/>
      <c r="F172" s="40"/>
      <c r="G172" s="41"/>
      <c r="H172" s="2"/>
      <c r="I172" s="51"/>
      <c r="J172" s="51"/>
      <c r="K172" s="19">
        <f>D158</f>
        <v>0</v>
      </c>
      <c r="L172" s="70">
        <f>E158</f>
        <v>0</v>
      </c>
      <c r="M172" s="3">
        <f>F158</f>
        <v>0</v>
      </c>
      <c r="N172" s="17">
        <f>G158</f>
        <v>0</v>
      </c>
      <c r="O172" s="20" t="e">
        <f>M173-M172</f>
        <v>#N/A</v>
      </c>
      <c r="P172" s="16"/>
      <c r="Q172" s="49"/>
      <c r="R172" s="50"/>
      <c r="S172" s="40"/>
      <c r="T172" s="40"/>
      <c r="U172" s="40"/>
      <c r="V172" s="40"/>
      <c r="W172" s="41"/>
      <c r="X172" s="16"/>
      <c r="Y172" s="6"/>
      <c r="Z172" s="19">
        <f>T158</f>
        <v>0</v>
      </c>
      <c r="AA172" s="70">
        <f>U158</f>
        <v>0</v>
      </c>
      <c r="AB172" s="3">
        <f>V158</f>
        <v>0</v>
      </c>
      <c r="AC172" s="17">
        <f>W158</f>
        <v>0</v>
      </c>
      <c r="AD172" s="20" t="e">
        <f>AB173-AB172</f>
        <v>#N/A</v>
      </c>
      <c r="AE172" s="16"/>
    </row>
    <row r="173" spans="1:31" ht="14.25" thickTop="1" thickBot="1">
      <c r="A173" s="47"/>
      <c r="B173" s="50"/>
      <c r="H173" s="2"/>
      <c r="I173" s="51"/>
      <c r="J173" s="51"/>
      <c r="K173" s="30"/>
      <c r="L173" s="24" t="s">
        <v>20</v>
      </c>
      <c r="M173" s="3" t="e">
        <f>VLOOKUP($D158,$D161:$G175,3,FALSE)</f>
        <v>#N/A</v>
      </c>
      <c r="N173" s="17" t="e">
        <f>VLOOKUP($D158,$D161:$G175,4,FALSE)</f>
        <v>#N/A</v>
      </c>
      <c r="O173" s="25" t="e">
        <f>N173-N172</f>
        <v>#N/A</v>
      </c>
      <c r="P173" s="38"/>
      <c r="Q173" s="49"/>
      <c r="R173" s="50"/>
      <c r="W173" s="1"/>
      <c r="X173" s="38"/>
      <c r="Y173" s="2"/>
      <c r="Z173" s="30"/>
      <c r="AA173" s="24" t="s">
        <v>20</v>
      </c>
      <c r="AB173" s="3" t="e">
        <f>VLOOKUP($T158,$T161:$W175,3,FALSE)</f>
        <v>#N/A</v>
      </c>
      <c r="AC173" s="17" t="e">
        <f>VLOOKUP($T158,$T161:$W175,4,FALSE)</f>
        <v>#N/A</v>
      </c>
      <c r="AD173" s="25" t="e">
        <f>AC173-AC172</f>
        <v>#N/A</v>
      </c>
      <c r="AE173" s="38"/>
    </row>
    <row r="174" spans="1:31" ht="13.5" thickTop="1">
      <c r="A174" s="47"/>
      <c r="B174" s="50"/>
      <c r="H174" s="2"/>
      <c r="I174" s="48"/>
      <c r="J174" s="2"/>
      <c r="K174" s="31"/>
      <c r="L174" s="6"/>
      <c r="M174" s="11"/>
      <c r="N174" s="11"/>
      <c r="O174" s="6"/>
      <c r="P174" s="38"/>
      <c r="Q174" s="49"/>
      <c r="R174" s="50"/>
      <c r="W174" s="1"/>
      <c r="X174" s="38"/>
      <c r="Y174" s="2"/>
      <c r="Z174" s="31"/>
      <c r="AA174" s="6"/>
      <c r="AB174" s="11"/>
      <c r="AC174" s="11"/>
      <c r="AD174" s="6"/>
      <c r="AE174" s="38"/>
    </row>
    <row r="175" spans="1:31" ht="13.5" thickBot="1">
      <c r="A175" s="47"/>
      <c r="B175" s="50"/>
      <c r="H175" s="2"/>
      <c r="I175" s="48"/>
      <c r="J175" s="2"/>
      <c r="K175" s="27"/>
      <c r="L175" s="2"/>
      <c r="M175" s="2"/>
      <c r="N175" s="2"/>
      <c r="O175" s="2"/>
      <c r="P175" s="38"/>
      <c r="Q175" s="49"/>
      <c r="R175" s="50"/>
      <c r="W175" s="1"/>
      <c r="X175" s="38"/>
      <c r="Y175" s="2"/>
      <c r="Z175" s="27"/>
      <c r="AA175" s="2"/>
      <c r="AB175" s="2"/>
      <c r="AC175" s="2"/>
      <c r="AD175" s="2"/>
      <c r="AE175" s="38"/>
    </row>
    <row r="176" spans="1:31" ht="13.5" thickTop="1">
      <c r="A176" s="47"/>
      <c r="B176" s="48"/>
      <c r="C176" s="32"/>
      <c r="D176" s="32" t="s">
        <v>46</v>
      </c>
      <c r="E176" s="42"/>
      <c r="F176" s="32" t="s">
        <v>47</v>
      </c>
      <c r="G176" s="33"/>
      <c r="H176" s="2"/>
      <c r="I176" s="48"/>
      <c r="J176" s="2"/>
      <c r="K176" s="27"/>
      <c r="L176" s="2"/>
      <c r="M176" s="2"/>
      <c r="N176" s="2"/>
      <c r="O176" s="2"/>
      <c r="P176" s="38"/>
      <c r="Q176" s="49"/>
      <c r="R176" s="48"/>
      <c r="S176" s="32"/>
      <c r="T176" s="32" t="s">
        <v>46</v>
      </c>
      <c r="U176" s="42"/>
      <c r="V176" s="32" t="s">
        <v>47</v>
      </c>
      <c r="W176" s="33"/>
      <c r="X176" s="38"/>
      <c r="Y176" s="2"/>
      <c r="Z176" s="27"/>
      <c r="AA176" s="2"/>
      <c r="AB176" s="2"/>
      <c r="AC176" s="2"/>
      <c r="AD176" s="2"/>
      <c r="AE176" s="38"/>
    </row>
    <row r="177" spans="1:33">
      <c r="A177" s="47"/>
      <c r="B177" s="48"/>
      <c r="C177" s="61" t="s">
        <v>41</v>
      </c>
      <c r="D177" s="61"/>
      <c r="E177" s="60"/>
      <c r="F177" s="60"/>
      <c r="G177" s="62"/>
      <c r="H177" s="60"/>
      <c r="I177" s="60"/>
      <c r="J177" s="60"/>
      <c r="K177" s="63"/>
      <c r="L177" s="60"/>
      <c r="M177" s="60"/>
      <c r="N177" s="60"/>
      <c r="O177" s="60"/>
      <c r="P177" s="4"/>
      <c r="Q177" s="49"/>
      <c r="R177" s="48"/>
      <c r="S177" s="64" t="s">
        <v>41</v>
      </c>
      <c r="T177" s="64"/>
      <c r="U177" s="65"/>
      <c r="V177" s="65"/>
      <c r="W177" s="66"/>
      <c r="X177" s="65"/>
      <c r="Y177" s="65"/>
      <c r="Z177" s="67"/>
      <c r="AA177" s="65"/>
      <c r="AB177" s="65"/>
      <c r="AC177" s="65"/>
      <c r="AD177" s="65"/>
      <c r="AE177" s="4"/>
    </row>
    <row r="178" spans="1:33" ht="13.5" thickBot="1">
      <c r="A178" s="47"/>
      <c r="B178" s="48"/>
      <c r="C178" s="68" t="s">
        <v>36</v>
      </c>
      <c r="D178" s="68" t="s">
        <v>18</v>
      </c>
      <c r="E178" s="68" t="s">
        <v>14</v>
      </c>
      <c r="F178" s="68" t="s">
        <v>15</v>
      </c>
      <c r="G178" s="68" t="s">
        <v>16</v>
      </c>
      <c r="H178" s="2"/>
      <c r="I178" s="2"/>
      <c r="J178" s="2"/>
      <c r="K178" s="28" t="s">
        <v>17</v>
      </c>
      <c r="L178" s="9" t="s">
        <v>14</v>
      </c>
      <c r="M178" s="9" t="s">
        <v>15</v>
      </c>
      <c r="N178" s="9" t="s">
        <v>16</v>
      </c>
      <c r="O178" s="9" t="s">
        <v>19</v>
      </c>
      <c r="P178" s="4"/>
      <c r="Q178" s="49"/>
      <c r="R178" s="48"/>
      <c r="S178" s="8" t="s">
        <v>36</v>
      </c>
      <c r="T178" s="8" t="s">
        <v>18</v>
      </c>
      <c r="U178" s="8" t="s">
        <v>14</v>
      </c>
      <c r="V178" s="8" t="s">
        <v>15</v>
      </c>
      <c r="W178" s="8" t="s">
        <v>16</v>
      </c>
      <c r="X178" s="4"/>
      <c r="Y178" s="2"/>
      <c r="Z178" s="28" t="s">
        <v>17</v>
      </c>
      <c r="AA178" s="9" t="s">
        <v>14</v>
      </c>
      <c r="AB178" s="9" t="s">
        <v>15</v>
      </c>
      <c r="AC178" s="9" t="s">
        <v>16</v>
      </c>
      <c r="AD178" s="9" t="s">
        <v>19</v>
      </c>
      <c r="AE178" s="4"/>
    </row>
    <row r="179" spans="1:33" ht="14.25" thickTop="1" thickBot="1">
      <c r="A179" s="47"/>
      <c r="B179" s="50"/>
      <c r="C179" s="12"/>
      <c r="D179" s="12"/>
      <c r="E179" s="12"/>
      <c r="F179" s="12"/>
      <c r="G179" s="13"/>
      <c r="H179" s="18">
        <v>922689</v>
      </c>
      <c r="I179" s="51"/>
      <c r="J179" s="51"/>
      <c r="K179" s="29">
        <f>D179</f>
        <v>0</v>
      </c>
      <c r="L179" s="70">
        <f>E179</f>
        <v>0</v>
      </c>
      <c r="M179" s="17">
        <f>F179</f>
        <v>0</v>
      </c>
      <c r="N179" s="17">
        <f>G179</f>
        <v>0</v>
      </c>
      <c r="O179" s="20" t="e">
        <f>M180-M179</f>
        <v>#N/A</v>
      </c>
      <c r="P179" s="16"/>
      <c r="Q179" s="49"/>
      <c r="R179" s="50"/>
      <c r="S179" s="12"/>
      <c r="T179" s="12"/>
      <c r="U179" s="12"/>
      <c r="V179" s="12"/>
      <c r="W179" s="13"/>
      <c r="X179" s="16"/>
      <c r="Y179" s="6"/>
      <c r="Z179" s="29">
        <f>T179</f>
        <v>0</v>
      </c>
      <c r="AA179" s="70">
        <f>U179</f>
        <v>0</v>
      </c>
      <c r="AB179" s="17">
        <f>V179</f>
        <v>0</v>
      </c>
      <c r="AC179" s="17">
        <f>W179</f>
        <v>0</v>
      </c>
      <c r="AD179" s="20" t="e">
        <f>AB180-AB179</f>
        <v>#N/A</v>
      </c>
      <c r="AE179" s="16"/>
    </row>
    <row r="180" spans="1:33" ht="14.25" thickTop="1" thickBot="1">
      <c r="A180" s="47"/>
      <c r="B180" s="50"/>
      <c r="H180" s="18">
        <v>896047</v>
      </c>
      <c r="I180" s="51"/>
      <c r="J180" s="51"/>
      <c r="K180" s="30"/>
      <c r="L180" s="23" t="s">
        <v>20</v>
      </c>
      <c r="M180" s="3" t="e">
        <f>VLOOKUP($D179,$D196:$G210,3,FALSE)</f>
        <v>#N/A</v>
      </c>
      <c r="N180" s="17" t="e">
        <f>VLOOKUP($D$4,$D196:$G210,4,FALSE)</f>
        <v>#N/A</v>
      </c>
      <c r="O180" s="26" t="e">
        <f>N180-N179</f>
        <v>#N/A</v>
      </c>
      <c r="P180" s="16"/>
      <c r="Q180" s="49"/>
      <c r="R180" s="50"/>
      <c r="W180" s="1"/>
      <c r="X180" s="16"/>
      <c r="Y180" s="2"/>
      <c r="Z180" s="30"/>
      <c r="AA180" s="23" t="s">
        <v>20</v>
      </c>
      <c r="AB180" s="3" t="e">
        <f>VLOOKUP($T179,$T196:$W210,3,FALSE)</f>
        <v>#N/A</v>
      </c>
      <c r="AC180" s="17" t="e">
        <f>VLOOKUP($T179,$T196:$W210,4,FALSE)</f>
        <v>#N/A</v>
      </c>
      <c r="AD180" s="26" t="e">
        <f>AC180-AC179</f>
        <v>#N/A</v>
      </c>
      <c r="AE180" s="16"/>
    </row>
    <row r="181" spans="1:33" ht="14.25" thickTop="1" thickBot="1">
      <c r="A181" s="47"/>
      <c r="B181" s="50"/>
      <c r="H181" s="18">
        <v>588467</v>
      </c>
      <c r="I181" s="51"/>
      <c r="J181" s="51"/>
      <c r="K181" s="19">
        <f>D180</f>
        <v>0</v>
      </c>
      <c r="L181" s="70">
        <f>E180</f>
        <v>0</v>
      </c>
      <c r="M181" s="3">
        <f>F180</f>
        <v>0</v>
      </c>
      <c r="N181" s="17">
        <f>G180</f>
        <v>0</v>
      </c>
      <c r="O181" s="20" t="e">
        <f>M182-M181</f>
        <v>#N/A</v>
      </c>
      <c r="P181" s="16"/>
      <c r="Q181" s="49"/>
      <c r="R181" s="50"/>
      <c r="W181" s="1"/>
      <c r="X181" s="16"/>
      <c r="Y181" s="6"/>
      <c r="Z181" s="19">
        <f>T180</f>
        <v>0</v>
      </c>
      <c r="AA181" s="70">
        <f>U180</f>
        <v>0</v>
      </c>
      <c r="AB181" s="3">
        <f>V180</f>
        <v>0</v>
      </c>
      <c r="AC181" s="17">
        <f>W180</f>
        <v>0</v>
      </c>
      <c r="AD181" s="20" t="e">
        <f>AB182-AB181</f>
        <v>#N/A</v>
      </c>
      <c r="AE181" s="16"/>
      <c r="AG181" s="35"/>
    </row>
    <row r="182" spans="1:33" ht="14.25" thickTop="1" thickBot="1">
      <c r="A182" s="47"/>
      <c r="B182" s="50"/>
      <c r="H182" s="18">
        <v>600459</v>
      </c>
      <c r="I182" s="51"/>
      <c r="J182" s="51"/>
      <c r="K182" s="30"/>
      <c r="L182" s="23" t="s">
        <v>20</v>
      </c>
      <c r="M182" s="3" t="e">
        <f>VLOOKUP($D180,$D196:$G210,3,FALSE)</f>
        <v>#N/A</v>
      </c>
      <c r="N182" s="17" t="e">
        <f>VLOOKUP($D$5,$D196:$G210,4,FALSE)</f>
        <v>#N/A</v>
      </c>
      <c r="O182" s="26" t="e">
        <f>N182-N181</f>
        <v>#N/A</v>
      </c>
      <c r="P182" s="16"/>
      <c r="Q182" s="49"/>
      <c r="R182" s="50"/>
      <c r="W182" s="1"/>
      <c r="X182" s="16"/>
      <c r="Y182" s="2"/>
      <c r="Z182" s="30"/>
      <c r="AA182" s="23" t="s">
        <v>20</v>
      </c>
      <c r="AB182" s="3" t="e">
        <f>VLOOKUP($T180,$T196:$W210,3,FALSE)</f>
        <v>#N/A</v>
      </c>
      <c r="AC182" s="17" t="e">
        <f>VLOOKUP($T180,$T196:$W210,4,FALSE)</f>
        <v>#N/A</v>
      </c>
      <c r="AD182" s="26" t="e">
        <f>AC182-AC181</f>
        <v>#N/A</v>
      </c>
      <c r="AE182" s="16"/>
    </row>
    <row r="183" spans="1:33" ht="14.25" thickTop="1" thickBot="1">
      <c r="A183" s="47"/>
      <c r="B183" s="50"/>
      <c r="H183" s="18">
        <v>432716</v>
      </c>
      <c r="I183" s="51"/>
      <c r="J183" s="51"/>
      <c r="K183" s="19">
        <f>D181</f>
        <v>0</v>
      </c>
      <c r="L183" s="70">
        <f>E181</f>
        <v>0</v>
      </c>
      <c r="M183" s="3">
        <f>F181</f>
        <v>0</v>
      </c>
      <c r="N183" s="17">
        <f>G181</f>
        <v>0</v>
      </c>
      <c r="O183" s="20" t="e">
        <f>M184-M183</f>
        <v>#N/A</v>
      </c>
      <c r="P183" s="16"/>
      <c r="Q183" s="49"/>
      <c r="R183" s="50"/>
      <c r="W183" s="1"/>
      <c r="X183" s="16"/>
      <c r="Y183" s="6"/>
      <c r="Z183" s="19">
        <f>T181</f>
        <v>0</v>
      </c>
      <c r="AA183" s="70">
        <f>U181</f>
        <v>0</v>
      </c>
      <c r="AB183" s="3">
        <f>V181</f>
        <v>0</v>
      </c>
      <c r="AC183" s="17">
        <f>W181</f>
        <v>0</v>
      </c>
      <c r="AD183" s="20" t="e">
        <f>AB184-AB183</f>
        <v>#N/A</v>
      </c>
      <c r="AE183" s="16"/>
    </row>
    <row r="184" spans="1:33" ht="14.25" thickTop="1" thickBot="1">
      <c r="A184" s="47"/>
      <c r="B184" s="50"/>
      <c r="H184" s="18">
        <v>149538</v>
      </c>
      <c r="I184" s="51"/>
      <c r="J184" s="51"/>
      <c r="K184" s="30"/>
      <c r="L184" s="23" t="s">
        <v>20</v>
      </c>
      <c r="M184" s="3" t="e">
        <f>VLOOKUP($D181,$D196:$G210,3,FALSE)</f>
        <v>#N/A</v>
      </c>
      <c r="N184" s="17" t="e">
        <f>VLOOKUP($D181,$D196:$G210,4,FALSE)</f>
        <v>#N/A</v>
      </c>
      <c r="O184" s="26" t="e">
        <f>N184-N183</f>
        <v>#N/A</v>
      </c>
      <c r="P184" s="16"/>
      <c r="Q184" s="49"/>
      <c r="R184" s="50"/>
      <c r="W184" s="1"/>
      <c r="X184" s="16"/>
      <c r="Y184" s="2"/>
      <c r="Z184" s="30"/>
      <c r="AA184" s="23" t="s">
        <v>20</v>
      </c>
      <c r="AB184" s="3" t="e">
        <f>VLOOKUP($T181,$T196:$W210,3,FALSE)</f>
        <v>#N/A</v>
      </c>
      <c r="AC184" s="17" t="e">
        <f>VLOOKUP($T181,$T196:$W210,4,FALSE)</f>
        <v>#N/A</v>
      </c>
      <c r="AD184" s="26" t="e">
        <f>AC184-AC183</f>
        <v>#N/A</v>
      </c>
      <c r="AE184" s="16"/>
    </row>
    <row r="185" spans="1:33" ht="14.25" thickTop="1" thickBot="1">
      <c r="A185" s="47"/>
      <c r="B185" s="50"/>
      <c r="H185" s="18">
        <v>101933</v>
      </c>
      <c r="I185" s="51"/>
      <c r="J185" s="51"/>
      <c r="K185" s="19">
        <f>D182</f>
        <v>0</v>
      </c>
      <c r="L185" s="70">
        <f>E182</f>
        <v>0</v>
      </c>
      <c r="M185" s="3">
        <f>F182</f>
        <v>0</v>
      </c>
      <c r="N185" s="17">
        <f>G182</f>
        <v>0</v>
      </c>
      <c r="O185" s="20" t="e">
        <f>M186-M185</f>
        <v>#N/A</v>
      </c>
      <c r="P185" s="16"/>
      <c r="Q185" s="49"/>
      <c r="R185" s="50"/>
      <c r="W185" s="1"/>
      <c r="X185" s="16"/>
      <c r="Y185" s="6"/>
      <c r="Z185" s="19">
        <f>T182</f>
        <v>0</v>
      </c>
      <c r="AA185" s="70">
        <f>U182</f>
        <v>0</v>
      </c>
      <c r="AB185" s="3">
        <f>V182</f>
        <v>0</v>
      </c>
      <c r="AC185" s="17">
        <f>W182</f>
        <v>0</v>
      </c>
      <c r="AD185" s="20" t="e">
        <f>AB186-AB185</f>
        <v>#N/A</v>
      </c>
      <c r="AE185" s="16"/>
    </row>
    <row r="186" spans="1:33" ht="14.25" thickTop="1" thickBot="1">
      <c r="A186" s="47"/>
      <c r="B186" s="50"/>
      <c r="H186" s="18">
        <v>6850</v>
      </c>
      <c r="I186" s="51"/>
      <c r="J186" s="51"/>
      <c r="K186" s="30"/>
      <c r="L186" s="23" t="s">
        <v>20</v>
      </c>
      <c r="M186" s="3" t="e">
        <f>VLOOKUP($D182,$D196:$G210,3,FALSE)</f>
        <v>#N/A</v>
      </c>
      <c r="N186" s="17" t="e">
        <f>VLOOKUP($D182,$D196:$G210,4,FALSE)</f>
        <v>#N/A</v>
      </c>
      <c r="O186" s="26" t="e">
        <f>N186-N185</f>
        <v>#N/A</v>
      </c>
      <c r="P186" s="16"/>
      <c r="Q186" s="49"/>
      <c r="R186" s="50"/>
      <c r="W186" s="1"/>
      <c r="X186" s="16"/>
      <c r="Y186" s="2"/>
      <c r="Z186" s="30"/>
      <c r="AA186" s="23" t="s">
        <v>20</v>
      </c>
      <c r="AB186" s="3" t="e">
        <f>VLOOKUP($T182,$T196:$W210,3,FALSE)</f>
        <v>#N/A</v>
      </c>
      <c r="AC186" s="17" t="e">
        <f>VLOOKUP($T182,$T196:$W210,4,FALSE)</f>
        <v>#N/A</v>
      </c>
      <c r="AD186" s="26" t="e">
        <f>AC186-AC185</f>
        <v>#N/A</v>
      </c>
      <c r="AE186" s="16"/>
    </row>
    <row r="187" spans="1:33" ht="14.25" thickTop="1" thickBot="1">
      <c r="A187" s="47"/>
      <c r="B187" s="50"/>
      <c r="H187" s="18">
        <v>6165</v>
      </c>
      <c r="I187" s="51"/>
      <c r="J187" s="51"/>
      <c r="K187" s="29">
        <f>D183</f>
        <v>0</v>
      </c>
      <c r="L187" s="70">
        <f>E183</f>
        <v>0</v>
      </c>
      <c r="M187" s="3">
        <f>F183</f>
        <v>0</v>
      </c>
      <c r="N187" s="17">
        <f>G183</f>
        <v>0</v>
      </c>
      <c r="O187" s="20" t="e">
        <f>M188-M187</f>
        <v>#N/A</v>
      </c>
      <c r="P187" s="16"/>
      <c r="Q187" s="49"/>
      <c r="R187" s="50"/>
      <c r="W187" s="1"/>
      <c r="X187" s="16"/>
      <c r="Y187" s="6"/>
      <c r="Z187" s="29">
        <f>T183</f>
        <v>0</v>
      </c>
      <c r="AA187" s="70">
        <f>U183</f>
        <v>0</v>
      </c>
      <c r="AB187" s="3">
        <f>V183</f>
        <v>0</v>
      </c>
      <c r="AC187" s="17">
        <f>W183</f>
        <v>0</v>
      </c>
      <c r="AD187" s="20" t="e">
        <f>AB188-AB187</f>
        <v>#N/A</v>
      </c>
      <c r="AE187" s="16"/>
    </row>
    <row r="188" spans="1:33" ht="14.25" thickTop="1" thickBot="1">
      <c r="A188" s="47"/>
      <c r="B188" s="50"/>
      <c r="H188" s="18">
        <v>6010</v>
      </c>
      <c r="I188" s="51"/>
      <c r="J188" s="51"/>
      <c r="K188" s="30"/>
      <c r="L188" s="23" t="s">
        <v>20</v>
      </c>
      <c r="M188" s="3" t="e">
        <f>VLOOKUP($D183,$D196:$G210,3,FALSE)</f>
        <v>#N/A</v>
      </c>
      <c r="N188" s="17" t="e">
        <f>VLOOKUP($D183,$D196:$G210,4,FALSE)</f>
        <v>#N/A</v>
      </c>
      <c r="O188" s="26" t="e">
        <f>N188-N187</f>
        <v>#N/A</v>
      </c>
      <c r="P188" s="16"/>
      <c r="Q188" s="49"/>
      <c r="R188" s="50"/>
      <c r="W188" s="1"/>
      <c r="X188" s="16"/>
      <c r="Y188" s="2"/>
      <c r="Z188" s="30"/>
      <c r="AA188" s="23" t="s">
        <v>20</v>
      </c>
      <c r="AB188" s="3" t="e">
        <f>VLOOKUP($T183,$T196:$W210,3,FALSE)</f>
        <v>#N/A</v>
      </c>
      <c r="AC188" s="17" t="e">
        <f>VLOOKUP($T183,$T196:$W210,4,FALSE)</f>
        <v>#N/A</v>
      </c>
      <c r="AD188" s="26" t="e">
        <f>AC188-AC187</f>
        <v>#N/A</v>
      </c>
      <c r="AE188" s="16"/>
    </row>
    <row r="189" spans="1:33" ht="14.25" thickTop="1" thickBot="1">
      <c r="A189" s="47"/>
      <c r="B189" s="50"/>
      <c r="H189" s="2"/>
      <c r="I189" s="51"/>
      <c r="J189" s="51"/>
      <c r="K189" s="19">
        <f>D184</f>
        <v>0</v>
      </c>
      <c r="L189" s="70">
        <f>E184</f>
        <v>0</v>
      </c>
      <c r="M189" s="3">
        <f>F184</f>
        <v>0</v>
      </c>
      <c r="N189" s="17">
        <f>G184</f>
        <v>0</v>
      </c>
      <c r="O189" s="20" t="e">
        <f>M190-M189</f>
        <v>#N/A</v>
      </c>
      <c r="P189" s="16"/>
      <c r="Q189" s="49"/>
      <c r="R189" s="50"/>
      <c r="W189" s="1"/>
      <c r="X189" s="16"/>
      <c r="Y189" s="6"/>
      <c r="Z189" s="19">
        <f>T184</f>
        <v>0</v>
      </c>
      <c r="AA189" s="70">
        <f>U184</f>
        <v>0</v>
      </c>
      <c r="AB189" s="3">
        <f>V184</f>
        <v>0</v>
      </c>
      <c r="AC189" s="17">
        <f>W184</f>
        <v>0</v>
      </c>
      <c r="AD189" s="20" t="e">
        <f>AB190-AB189</f>
        <v>#N/A</v>
      </c>
      <c r="AE189" s="16"/>
    </row>
    <row r="190" spans="1:33" ht="14.25" thickTop="1" thickBot="1">
      <c r="A190" s="47"/>
      <c r="B190" s="50"/>
      <c r="H190" s="2"/>
      <c r="I190" s="51"/>
      <c r="J190" s="51"/>
      <c r="K190" s="30"/>
      <c r="L190" s="23" t="s">
        <v>20</v>
      </c>
      <c r="M190" s="3" t="e">
        <f>VLOOKUP($D184,$D196:$G210,3,FALSE)</f>
        <v>#N/A</v>
      </c>
      <c r="N190" s="17" t="e">
        <f>VLOOKUP($D184,$D196:$G210,4,FALSE)</f>
        <v>#N/A</v>
      </c>
      <c r="O190" s="26" t="e">
        <f>N190-N189</f>
        <v>#N/A</v>
      </c>
      <c r="P190" s="16"/>
      <c r="Q190" s="49"/>
      <c r="R190" s="50"/>
      <c r="W190" s="1"/>
      <c r="X190" s="16"/>
      <c r="Y190" s="2"/>
      <c r="Z190" s="30"/>
      <c r="AA190" s="23" t="s">
        <v>20</v>
      </c>
      <c r="AB190" s="3" t="e">
        <f>VLOOKUP($T184,$T196:$W210,3,FALSE)</f>
        <v>#N/A</v>
      </c>
      <c r="AC190" s="17" t="e">
        <f>VLOOKUP($T184,$T196:$W210,4,FALSE)</f>
        <v>#N/A</v>
      </c>
      <c r="AD190" s="26" t="e">
        <f>AC190-AC189</f>
        <v>#N/A</v>
      </c>
      <c r="AE190" s="16"/>
    </row>
    <row r="191" spans="1:33" ht="14.25" thickTop="1" thickBot="1">
      <c r="A191" s="47"/>
      <c r="B191" s="50"/>
      <c r="H191" s="2"/>
      <c r="I191" s="51"/>
      <c r="J191" s="51"/>
      <c r="K191" s="19">
        <f>D185</f>
        <v>0</v>
      </c>
      <c r="L191" s="70">
        <f>E185</f>
        <v>0</v>
      </c>
      <c r="M191" s="3">
        <f>F185</f>
        <v>0</v>
      </c>
      <c r="N191" s="17">
        <f>G185</f>
        <v>0</v>
      </c>
      <c r="O191" s="20" t="e">
        <f>M192-M191</f>
        <v>#N/A</v>
      </c>
      <c r="P191" s="16"/>
      <c r="Q191" s="49"/>
      <c r="R191" s="50"/>
      <c r="W191" s="1"/>
      <c r="X191" s="16"/>
      <c r="Y191" s="6"/>
      <c r="Z191" s="19">
        <f>T185</f>
        <v>0</v>
      </c>
      <c r="AA191" s="70">
        <f>U185</f>
        <v>0</v>
      </c>
      <c r="AB191" s="3">
        <f>V185</f>
        <v>0</v>
      </c>
      <c r="AC191" s="17">
        <f>W185</f>
        <v>0</v>
      </c>
      <c r="AD191" s="20" t="e">
        <f>AB192-AB191</f>
        <v>#N/A</v>
      </c>
      <c r="AE191" s="16"/>
    </row>
    <row r="192" spans="1:33" ht="14.25" thickTop="1" thickBot="1">
      <c r="A192" s="47"/>
      <c r="B192" s="50"/>
      <c r="H192" s="2"/>
      <c r="I192" s="51"/>
      <c r="J192" s="51"/>
      <c r="K192" s="30"/>
      <c r="L192" s="23" t="s">
        <v>20</v>
      </c>
      <c r="M192" s="3" t="e">
        <f>VLOOKUP($D185,$D196:$G210,3,FALSE)</f>
        <v>#N/A</v>
      </c>
      <c r="N192" s="17" t="e">
        <f>VLOOKUP($D185,$D196:$G210,4,FALSE)</f>
        <v>#N/A</v>
      </c>
      <c r="O192" s="26" t="e">
        <f>N192-N191</f>
        <v>#N/A</v>
      </c>
      <c r="P192" s="16"/>
      <c r="Q192" s="49"/>
      <c r="R192" s="50"/>
      <c r="W192" s="1"/>
      <c r="X192" s="16"/>
      <c r="Y192" s="2"/>
      <c r="Z192" s="30"/>
      <c r="AA192" s="23" t="s">
        <v>20</v>
      </c>
      <c r="AB192" s="3" t="e">
        <f>VLOOKUP($T185,$T196:$W210,3,FALSE)</f>
        <v>#N/A</v>
      </c>
      <c r="AC192" s="17" t="e">
        <f>VLOOKUP($T185,$T196:$W210,4,FALSE)</f>
        <v>#N/A</v>
      </c>
      <c r="AD192" s="26" t="e">
        <f>AC192-AC191</f>
        <v>#N/A</v>
      </c>
      <c r="AE192" s="16"/>
    </row>
    <row r="193" spans="1:31" ht="14.25" thickTop="1" thickBot="1">
      <c r="A193" s="47"/>
      <c r="B193" s="50"/>
      <c r="H193" s="2"/>
      <c r="I193" s="51"/>
      <c r="J193" s="51"/>
      <c r="K193" s="19">
        <f>D186</f>
        <v>0</v>
      </c>
      <c r="L193" s="70">
        <f>E186</f>
        <v>0</v>
      </c>
      <c r="M193" s="21">
        <f>F186</f>
        <v>0</v>
      </c>
      <c r="N193" s="22">
        <f>G186</f>
        <v>0</v>
      </c>
      <c r="O193" s="20" t="e">
        <f>M194-M193</f>
        <v>#N/A</v>
      </c>
      <c r="P193" s="16"/>
      <c r="Q193" s="49"/>
      <c r="R193" s="50"/>
      <c r="W193" s="1"/>
      <c r="X193" s="16"/>
      <c r="Y193" s="6"/>
      <c r="Z193" s="19">
        <f>T186</f>
        <v>0</v>
      </c>
      <c r="AA193" s="70">
        <f>U186</f>
        <v>0</v>
      </c>
      <c r="AB193" s="21">
        <f>V186</f>
        <v>0</v>
      </c>
      <c r="AC193" s="22">
        <f>W186</f>
        <v>0</v>
      </c>
      <c r="AD193" s="20" t="e">
        <f>AB194-AB193</f>
        <v>#N/A</v>
      </c>
      <c r="AE193" s="16"/>
    </row>
    <row r="194" spans="1:31" ht="14.25" thickTop="1" thickBot="1">
      <c r="A194" s="47"/>
      <c r="B194" s="48"/>
      <c r="C194" s="32"/>
      <c r="D194" s="32" t="s">
        <v>46</v>
      </c>
      <c r="E194" s="42"/>
      <c r="F194" s="32" t="s">
        <v>47</v>
      </c>
      <c r="G194" s="33"/>
      <c r="H194" s="2"/>
      <c r="I194" s="51"/>
      <c r="J194" s="51"/>
      <c r="K194" s="30"/>
      <c r="L194" s="23" t="s">
        <v>20</v>
      </c>
      <c r="M194" s="3" t="e">
        <f>VLOOKUP($D186,$D196:$G210,3,FALSE)</f>
        <v>#N/A</v>
      </c>
      <c r="N194" s="17" t="e">
        <f>VLOOKUP($D186,$D196:$G210,4,FALSE)</f>
        <v>#N/A</v>
      </c>
      <c r="O194" s="26" t="e">
        <f>N194-N193</f>
        <v>#N/A</v>
      </c>
      <c r="P194" s="16"/>
      <c r="Q194" s="49"/>
      <c r="R194" s="48"/>
      <c r="S194" s="32"/>
      <c r="T194" s="32" t="s">
        <v>46</v>
      </c>
      <c r="U194" s="42"/>
      <c r="V194" s="32" t="s">
        <v>47</v>
      </c>
      <c r="W194" s="33"/>
      <c r="X194" s="16"/>
      <c r="Y194" s="2"/>
      <c r="Z194" s="30"/>
      <c r="AA194" s="23" t="s">
        <v>20</v>
      </c>
      <c r="AB194" s="3" t="e">
        <f>VLOOKUP($T186,$T196:$W210,3,FALSE)</f>
        <v>#N/A</v>
      </c>
      <c r="AC194" s="17" t="e">
        <f>VLOOKUP($T186,$T196:$W210,4,FALSE)</f>
        <v>#N/A</v>
      </c>
      <c r="AD194" s="26" t="e">
        <f>AC194-AC193</f>
        <v>#N/A</v>
      </c>
      <c r="AE194" s="16"/>
    </row>
    <row r="195" spans="1:31" ht="14.25" thickTop="1" thickBot="1">
      <c r="A195" s="47"/>
      <c r="B195" s="51"/>
      <c r="C195" s="68" t="s">
        <v>36</v>
      </c>
      <c r="D195" s="68" t="s">
        <v>18</v>
      </c>
      <c r="E195" s="8" t="s">
        <v>14</v>
      </c>
      <c r="F195" s="8" t="s">
        <v>15</v>
      </c>
      <c r="G195" s="8" t="s">
        <v>16</v>
      </c>
      <c r="H195" s="2"/>
      <c r="I195" s="51"/>
      <c r="J195" s="51"/>
      <c r="K195" s="29">
        <f>D187</f>
        <v>0</v>
      </c>
      <c r="L195" s="70">
        <f>E187</f>
        <v>0</v>
      </c>
      <c r="M195" s="3">
        <f>F187</f>
        <v>0</v>
      </c>
      <c r="N195" s="17">
        <f>G187</f>
        <v>0</v>
      </c>
      <c r="O195" s="20" t="e">
        <f>M196-M195</f>
        <v>#N/A</v>
      </c>
      <c r="P195" s="16"/>
      <c r="Q195" s="49"/>
      <c r="R195" s="51"/>
      <c r="S195" s="8" t="s">
        <v>36</v>
      </c>
      <c r="T195" s="8" t="s">
        <v>18</v>
      </c>
      <c r="U195" s="8" t="s">
        <v>14</v>
      </c>
      <c r="V195" s="8" t="s">
        <v>15</v>
      </c>
      <c r="W195" s="8" t="s">
        <v>16</v>
      </c>
      <c r="X195" s="16"/>
      <c r="Y195" s="6"/>
      <c r="Z195" s="29">
        <f>T187</f>
        <v>0</v>
      </c>
      <c r="AA195" s="70">
        <f>U187</f>
        <v>0</v>
      </c>
      <c r="AB195" s="3">
        <f>V187</f>
        <v>0</v>
      </c>
      <c r="AC195" s="17">
        <f>W187</f>
        <v>0</v>
      </c>
      <c r="AD195" s="20" t="e">
        <f>AB196-AB195</f>
        <v>#N/A</v>
      </c>
      <c r="AE195" s="16"/>
    </row>
    <row r="196" spans="1:31" ht="14.25" thickTop="1" thickBot="1">
      <c r="A196" s="47"/>
      <c r="B196" s="50"/>
      <c r="C196" s="12"/>
      <c r="D196" s="12"/>
      <c r="E196" s="12"/>
      <c r="F196" s="12"/>
      <c r="G196" s="13"/>
      <c r="H196" s="2"/>
      <c r="I196" s="51"/>
      <c r="J196" s="51"/>
      <c r="K196" s="30"/>
      <c r="L196" s="23" t="s">
        <v>20</v>
      </c>
      <c r="M196" s="3" t="e">
        <f>VLOOKUP($D187,$D196:$G210,3,FALSE)</f>
        <v>#N/A</v>
      </c>
      <c r="N196" s="17" t="e">
        <f>VLOOKUP($D187,$D196:$G210,4,FALSE)</f>
        <v>#N/A</v>
      </c>
      <c r="O196" s="26" t="e">
        <f>N196-N195</f>
        <v>#N/A</v>
      </c>
      <c r="P196" s="16"/>
      <c r="Q196" s="49"/>
      <c r="R196" s="50"/>
      <c r="S196" s="12"/>
      <c r="T196" s="12"/>
      <c r="U196" s="12"/>
      <c r="V196" s="12"/>
      <c r="W196" s="13"/>
      <c r="X196" s="16"/>
      <c r="Y196" s="2"/>
      <c r="Z196" s="30"/>
      <c r="AA196" s="23" t="s">
        <v>20</v>
      </c>
      <c r="AB196" s="3" t="e">
        <f>VLOOKUP($T187,$T196:$W210,3,FALSE)</f>
        <v>#N/A</v>
      </c>
      <c r="AC196" s="17" t="e">
        <f>VLOOKUP($T187,$T196:$W210,4,FALSE)</f>
        <v>#N/A</v>
      </c>
      <c r="AD196" s="26" t="e">
        <f>AC196-AC195</f>
        <v>#N/A</v>
      </c>
      <c r="AE196" s="16"/>
    </row>
    <row r="197" spans="1:31" ht="14.25" thickTop="1" thickBot="1">
      <c r="A197" s="47"/>
      <c r="B197" s="50"/>
      <c r="H197" s="2"/>
      <c r="I197" s="51"/>
      <c r="J197" s="51"/>
      <c r="K197" s="19">
        <f>D188</f>
        <v>0</v>
      </c>
      <c r="L197" s="70">
        <f>E188</f>
        <v>0</v>
      </c>
      <c r="M197" s="3">
        <f>F188</f>
        <v>0</v>
      </c>
      <c r="N197" s="17">
        <f>G188</f>
        <v>0</v>
      </c>
      <c r="O197" s="20" t="e">
        <f>M198-M197</f>
        <v>#N/A</v>
      </c>
      <c r="P197" s="16"/>
      <c r="Q197" s="49"/>
      <c r="R197" s="50"/>
      <c r="W197" s="1"/>
      <c r="X197" s="16"/>
      <c r="Y197" s="6"/>
      <c r="Z197" s="19">
        <f>T188</f>
        <v>0</v>
      </c>
      <c r="AA197" s="70">
        <f>U188</f>
        <v>0</v>
      </c>
      <c r="AB197" s="3">
        <f>V188</f>
        <v>0</v>
      </c>
      <c r="AC197" s="17">
        <f>W188</f>
        <v>0</v>
      </c>
      <c r="AD197" s="20" t="e">
        <f>AB198-AB197</f>
        <v>#N/A</v>
      </c>
      <c r="AE197" s="16"/>
    </row>
    <row r="198" spans="1:31" ht="14.25" thickTop="1" thickBot="1">
      <c r="A198" s="47"/>
      <c r="B198" s="50"/>
      <c r="H198" s="2"/>
      <c r="I198" s="51"/>
      <c r="J198" s="51"/>
      <c r="K198" s="30"/>
      <c r="L198" s="23" t="s">
        <v>20</v>
      </c>
      <c r="M198" s="3" t="e">
        <f>VLOOKUP($D188,$D196:$G210,3,FALSE)</f>
        <v>#N/A</v>
      </c>
      <c r="N198" s="17" t="e">
        <f>VLOOKUP($D188,$D196:$G210,4,FALSE)</f>
        <v>#N/A</v>
      </c>
      <c r="O198" s="26" t="e">
        <f>N198-N197</f>
        <v>#N/A</v>
      </c>
      <c r="P198" s="16"/>
      <c r="Q198" s="49"/>
      <c r="R198" s="50"/>
      <c r="W198" s="1"/>
      <c r="X198" s="16"/>
      <c r="Y198" s="2"/>
      <c r="Z198" s="30"/>
      <c r="AA198" s="23" t="s">
        <v>20</v>
      </c>
      <c r="AB198" s="3" t="e">
        <f>VLOOKUP($T188,$T196:$W210,3,FALSE)</f>
        <v>#N/A</v>
      </c>
      <c r="AC198" s="17" t="e">
        <f>VLOOKUP($T188,$T196:$W210,4,FALSE)</f>
        <v>#N/A</v>
      </c>
      <c r="AD198" s="26" t="e">
        <f>AC198-AC197</f>
        <v>#N/A</v>
      </c>
      <c r="AE198" s="16"/>
    </row>
    <row r="199" spans="1:31" ht="14.25" thickTop="1" thickBot="1">
      <c r="A199" s="47"/>
      <c r="B199" s="50"/>
      <c r="H199" s="2"/>
      <c r="I199" s="51"/>
      <c r="J199" s="51"/>
      <c r="K199" s="19">
        <f>D189</f>
        <v>0</v>
      </c>
      <c r="L199" s="70">
        <f>E189</f>
        <v>0</v>
      </c>
      <c r="M199" s="3">
        <f>F189</f>
        <v>0</v>
      </c>
      <c r="N199" s="17">
        <f>G189</f>
        <v>0</v>
      </c>
      <c r="O199" s="20" t="e">
        <f>M200-M199</f>
        <v>#N/A</v>
      </c>
      <c r="P199" s="16"/>
      <c r="Q199" s="49"/>
      <c r="R199" s="50"/>
      <c r="W199" s="1"/>
      <c r="X199" s="16"/>
      <c r="Y199" s="6"/>
      <c r="Z199" s="19">
        <f>T189</f>
        <v>0</v>
      </c>
      <c r="AA199" s="70">
        <f>U189</f>
        <v>0</v>
      </c>
      <c r="AB199" s="3">
        <f>V189</f>
        <v>0</v>
      </c>
      <c r="AC199" s="17">
        <f>W189</f>
        <v>0</v>
      </c>
      <c r="AD199" s="20" t="e">
        <f>AB200-AB199</f>
        <v>#N/A</v>
      </c>
      <c r="AE199" s="16"/>
    </row>
    <row r="200" spans="1:31" ht="14.25" thickTop="1" thickBot="1">
      <c r="A200" s="47"/>
      <c r="B200" s="50"/>
      <c r="H200" s="2"/>
      <c r="I200" s="51"/>
      <c r="J200" s="51"/>
      <c r="K200" s="30"/>
      <c r="L200" s="23" t="s">
        <v>20</v>
      </c>
      <c r="M200" s="3" t="e">
        <f>VLOOKUP($D189,$D196:$G210,3,FALSE)</f>
        <v>#N/A</v>
      </c>
      <c r="N200" s="17" t="e">
        <f>VLOOKUP($D189,$D196:$G210,4,FALSE)</f>
        <v>#N/A</v>
      </c>
      <c r="O200" s="26" t="e">
        <f>N200-N199</f>
        <v>#N/A</v>
      </c>
      <c r="P200" s="16"/>
      <c r="Q200" s="49"/>
      <c r="R200" s="50"/>
      <c r="W200" s="1"/>
      <c r="X200" s="16"/>
      <c r="Y200" s="2"/>
      <c r="Z200" s="30"/>
      <c r="AA200" s="23" t="s">
        <v>20</v>
      </c>
      <c r="AB200" s="3" t="e">
        <f>VLOOKUP($T189,$T196:$W210,3,FALSE)</f>
        <v>#N/A</v>
      </c>
      <c r="AC200" s="17" t="e">
        <f>VLOOKUP($T189,$T196:$W210,4,FALSE)</f>
        <v>#N/A</v>
      </c>
      <c r="AD200" s="26" t="e">
        <f>AC200-AC199</f>
        <v>#N/A</v>
      </c>
      <c r="AE200" s="16"/>
    </row>
    <row r="201" spans="1:31" ht="14.25" thickTop="1" thickBot="1">
      <c r="A201" s="47"/>
      <c r="B201" s="50"/>
      <c r="H201" s="2"/>
      <c r="I201" s="51"/>
      <c r="J201" s="51"/>
      <c r="K201" s="19">
        <f>D190</f>
        <v>0</v>
      </c>
      <c r="L201" s="70">
        <f>E190</f>
        <v>0</v>
      </c>
      <c r="M201" s="3">
        <f>F190</f>
        <v>0</v>
      </c>
      <c r="N201" s="17">
        <f>G190</f>
        <v>0</v>
      </c>
      <c r="O201" s="20" t="e">
        <f>M202-M201</f>
        <v>#N/A</v>
      </c>
      <c r="P201" s="16"/>
      <c r="Q201" s="49"/>
      <c r="R201" s="50"/>
      <c r="W201" s="1"/>
      <c r="X201" s="16"/>
      <c r="Y201" s="6"/>
      <c r="Z201" s="19">
        <f>T190</f>
        <v>0</v>
      </c>
      <c r="AA201" s="70">
        <f>U190</f>
        <v>0</v>
      </c>
      <c r="AB201" s="3">
        <f>V190</f>
        <v>0</v>
      </c>
      <c r="AC201" s="17">
        <f>W190</f>
        <v>0</v>
      </c>
      <c r="AD201" s="20" t="e">
        <f>AB202-AB201</f>
        <v>#N/A</v>
      </c>
      <c r="AE201" s="16"/>
    </row>
    <row r="202" spans="1:31" ht="14.25" thickTop="1" thickBot="1">
      <c r="A202" s="47"/>
      <c r="B202" s="50"/>
      <c r="H202" s="2"/>
      <c r="I202" s="51"/>
      <c r="J202" s="51"/>
      <c r="K202" s="30"/>
      <c r="L202" s="23" t="s">
        <v>20</v>
      </c>
      <c r="M202" s="3" t="e">
        <f>VLOOKUP($D190,$D196:$G210,3,FALSE)</f>
        <v>#N/A</v>
      </c>
      <c r="N202" s="17" t="e">
        <f>VLOOKUP($D190,$D196:$G210,4,FALSE)</f>
        <v>#N/A</v>
      </c>
      <c r="O202" s="26" t="e">
        <f>N202-N201</f>
        <v>#N/A</v>
      </c>
      <c r="P202" s="16"/>
      <c r="Q202" s="49"/>
      <c r="R202" s="50"/>
      <c r="W202" s="1"/>
      <c r="X202" s="16"/>
      <c r="Y202" s="2"/>
      <c r="Z202" s="30"/>
      <c r="AA202" s="23" t="s">
        <v>20</v>
      </c>
      <c r="AB202" s="3" t="e">
        <f>VLOOKUP($T190,$T196:$W210,3,FALSE)</f>
        <v>#N/A</v>
      </c>
      <c r="AC202" s="17" t="e">
        <f>VLOOKUP($T190,$T196:$W210,4,FALSE)</f>
        <v>#N/A</v>
      </c>
      <c r="AD202" s="26" t="e">
        <f>AC202-AC201</f>
        <v>#N/A</v>
      </c>
      <c r="AE202" s="16"/>
    </row>
    <row r="203" spans="1:31" ht="14.25" thickTop="1" thickBot="1">
      <c r="A203" s="47"/>
      <c r="B203" s="50"/>
      <c r="H203" s="2"/>
      <c r="I203" s="51"/>
      <c r="J203" s="51"/>
      <c r="K203" s="29">
        <f>D191</f>
        <v>0</v>
      </c>
      <c r="L203" s="70">
        <f>E191</f>
        <v>0</v>
      </c>
      <c r="M203" s="3">
        <f>F191</f>
        <v>0</v>
      </c>
      <c r="N203" s="17">
        <f>G191</f>
        <v>0</v>
      </c>
      <c r="O203" s="20" t="e">
        <f>M204-M203</f>
        <v>#N/A</v>
      </c>
      <c r="P203" s="16"/>
      <c r="Q203" s="49"/>
      <c r="R203" s="50"/>
      <c r="W203" s="1"/>
      <c r="X203" s="16"/>
      <c r="Y203" s="6"/>
      <c r="Z203" s="29">
        <f>T191</f>
        <v>0</v>
      </c>
      <c r="AA203" s="70">
        <f>U191</f>
        <v>0</v>
      </c>
      <c r="AB203" s="3">
        <f>V191</f>
        <v>0</v>
      </c>
      <c r="AC203" s="17">
        <f>W191</f>
        <v>0</v>
      </c>
      <c r="AD203" s="20" t="e">
        <f>AB204-AB203</f>
        <v>#N/A</v>
      </c>
      <c r="AE203" s="16"/>
    </row>
    <row r="204" spans="1:31" ht="14.25" thickTop="1" thickBot="1">
      <c r="A204" s="47"/>
      <c r="B204" s="50"/>
      <c r="H204" s="2"/>
      <c r="I204" s="51"/>
      <c r="J204" s="51"/>
      <c r="K204" s="30"/>
      <c r="L204" s="23" t="s">
        <v>20</v>
      </c>
      <c r="M204" s="3" t="e">
        <f>VLOOKUP($D191,$D196:$G210,3,FALSE)</f>
        <v>#N/A</v>
      </c>
      <c r="N204" s="17" t="e">
        <f>VLOOKUP($D191,$D196:$G210,4,FALSE)</f>
        <v>#N/A</v>
      </c>
      <c r="O204" s="26" t="e">
        <f>N204-N203</f>
        <v>#N/A</v>
      </c>
      <c r="P204" s="16"/>
      <c r="Q204" s="49"/>
      <c r="R204" s="50"/>
      <c r="W204" s="1"/>
      <c r="X204" s="16"/>
      <c r="Y204" s="2"/>
      <c r="Z204" s="30"/>
      <c r="AA204" s="23" t="s">
        <v>20</v>
      </c>
      <c r="AB204" s="3" t="e">
        <f>VLOOKUP($T191,$T196:$W210,3,FALSE)</f>
        <v>#N/A</v>
      </c>
      <c r="AC204" s="17" t="e">
        <f>VLOOKUP($T191,$T196:$W210,4,FALSE)</f>
        <v>#N/A</v>
      </c>
      <c r="AD204" s="26" t="e">
        <f>AC204-AC203</f>
        <v>#N/A</v>
      </c>
      <c r="AE204" s="16"/>
    </row>
    <row r="205" spans="1:31" ht="14.25" thickTop="1" thickBot="1">
      <c r="A205" s="47"/>
      <c r="B205" s="50"/>
      <c r="H205" s="2"/>
      <c r="I205" s="51"/>
      <c r="J205" s="51"/>
      <c r="K205" s="19">
        <f>D192</f>
        <v>0</v>
      </c>
      <c r="L205" s="70">
        <f>E192</f>
        <v>0</v>
      </c>
      <c r="M205" s="3">
        <f>F192</f>
        <v>0</v>
      </c>
      <c r="N205" s="17">
        <f>G192</f>
        <v>0</v>
      </c>
      <c r="O205" s="20" t="e">
        <f>M206-M205</f>
        <v>#N/A</v>
      </c>
      <c r="P205" s="16"/>
      <c r="Q205" s="49"/>
      <c r="R205" s="50"/>
      <c r="W205" s="1"/>
      <c r="X205" s="16"/>
      <c r="Y205" s="6"/>
      <c r="Z205" s="19">
        <f>T192</f>
        <v>0</v>
      </c>
      <c r="AA205" s="70">
        <f>U192</f>
        <v>0</v>
      </c>
      <c r="AB205" s="3">
        <f>V192</f>
        <v>0</v>
      </c>
      <c r="AC205" s="17">
        <f>W192</f>
        <v>0</v>
      </c>
      <c r="AD205" s="20" t="e">
        <f>AB206-AB205</f>
        <v>#N/A</v>
      </c>
      <c r="AE205" s="16"/>
    </row>
    <row r="206" spans="1:31" ht="14.25" thickTop="1" thickBot="1">
      <c r="A206" s="47"/>
      <c r="B206" s="50"/>
      <c r="H206" s="2"/>
      <c r="I206" s="51"/>
      <c r="J206" s="51"/>
      <c r="K206" s="30"/>
      <c r="L206" s="23" t="s">
        <v>20</v>
      </c>
      <c r="M206" s="3" t="e">
        <f>VLOOKUP($D192,$D196:$G210,3,FALSE)</f>
        <v>#N/A</v>
      </c>
      <c r="N206" s="17" t="e">
        <f>VLOOKUP($D192,$D196:$G210,4,FALSE)</f>
        <v>#N/A</v>
      </c>
      <c r="O206" s="26" t="e">
        <f>N206-N205</f>
        <v>#N/A</v>
      </c>
      <c r="P206" s="16"/>
      <c r="Q206" s="49"/>
      <c r="R206" s="50"/>
      <c r="W206" s="1"/>
      <c r="X206" s="16"/>
      <c r="Y206" s="2"/>
      <c r="Z206" s="30"/>
      <c r="AA206" s="23" t="s">
        <v>20</v>
      </c>
      <c r="AB206" s="3" t="e">
        <f>VLOOKUP($T192,$T196:$W210,3,FALSE)</f>
        <v>#N/A</v>
      </c>
      <c r="AC206" s="17" t="e">
        <f>VLOOKUP($T192,$T196:$W210,4,FALSE)</f>
        <v>#N/A</v>
      </c>
      <c r="AD206" s="26" t="e">
        <f>AC206-AC205</f>
        <v>#N/A</v>
      </c>
      <c r="AE206" s="16"/>
    </row>
    <row r="207" spans="1:31" ht="14.25" thickTop="1" thickBot="1">
      <c r="A207" s="47"/>
      <c r="B207" s="50"/>
      <c r="H207" s="2"/>
      <c r="I207" s="51"/>
      <c r="J207" s="51"/>
      <c r="K207" s="19">
        <f>D193</f>
        <v>0</v>
      </c>
      <c r="L207" s="70">
        <f>E193</f>
        <v>0</v>
      </c>
      <c r="M207" s="3">
        <f>F193</f>
        <v>0</v>
      </c>
      <c r="N207" s="17">
        <f>G193</f>
        <v>0</v>
      </c>
      <c r="O207" s="20" t="e">
        <f>M208-M207</f>
        <v>#N/A</v>
      </c>
      <c r="P207" s="16"/>
      <c r="Q207" s="49"/>
      <c r="R207" s="50"/>
      <c r="W207" s="1"/>
      <c r="X207" s="16"/>
      <c r="Y207" s="6"/>
      <c r="Z207" s="19">
        <f>T193</f>
        <v>0</v>
      </c>
      <c r="AA207" s="70">
        <f>U193</f>
        <v>0</v>
      </c>
      <c r="AB207" s="3">
        <f>V193</f>
        <v>0</v>
      </c>
      <c r="AC207" s="17">
        <f>W193</f>
        <v>0</v>
      </c>
      <c r="AD207" s="20" t="e">
        <f>AB208-AB207</f>
        <v>#N/A</v>
      </c>
      <c r="AE207" s="16"/>
    </row>
    <row r="208" spans="1:31" ht="14.25" thickTop="1" thickBot="1">
      <c r="A208" s="47"/>
      <c r="B208" s="50"/>
      <c r="H208" s="2"/>
      <c r="I208" s="51"/>
      <c r="J208" s="51"/>
      <c r="K208" s="30"/>
      <c r="L208" s="24" t="s">
        <v>20</v>
      </c>
      <c r="M208" s="3" t="e">
        <f>VLOOKUP($D193,$D196:$G210,3,FALSE)</f>
        <v>#N/A</v>
      </c>
      <c r="N208" s="17" t="e">
        <f>VLOOKUP($D193,$D196:$G210,4,FALSE)</f>
        <v>#N/A</v>
      </c>
      <c r="O208" s="25" t="e">
        <f>N208-N207</f>
        <v>#N/A</v>
      </c>
      <c r="P208" s="38"/>
      <c r="Q208" s="49"/>
      <c r="R208" s="50"/>
      <c r="W208" s="1"/>
      <c r="X208" s="38"/>
      <c r="Y208" s="2"/>
      <c r="Z208" s="30"/>
      <c r="AA208" s="24" t="s">
        <v>20</v>
      </c>
      <c r="AB208" s="3" t="e">
        <f>VLOOKUP($T193,$T196:$W210,3,FALSE)</f>
        <v>#N/A</v>
      </c>
      <c r="AC208" s="17" t="e">
        <f>VLOOKUP($T193,$T196:$W210,4,FALSE)</f>
        <v>#N/A</v>
      </c>
      <c r="AD208" s="25" t="e">
        <f>AC208-AC207</f>
        <v>#N/A</v>
      </c>
      <c r="AE208" s="38"/>
    </row>
    <row r="209" spans="1:33" ht="13.5" thickTop="1">
      <c r="A209" s="47"/>
      <c r="B209" s="50"/>
      <c r="H209" s="2"/>
      <c r="I209" s="48"/>
      <c r="J209" s="2"/>
      <c r="K209" s="31"/>
      <c r="L209" s="6"/>
      <c r="M209" s="11"/>
      <c r="N209" s="11"/>
      <c r="O209" s="6"/>
      <c r="P209" s="38"/>
      <c r="Q209" s="49"/>
      <c r="R209" s="50"/>
      <c r="W209" s="1"/>
      <c r="X209" s="38"/>
      <c r="Y209" s="2"/>
      <c r="Z209" s="31"/>
      <c r="AA209" s="6"/>
      <c r="AB209" s="11"/>
      <c r="AC209" s="11"/>
      <c r="AD209" s="6"/>
      <c r="AE209" s="38"/>
    </row>
    <row r="210" spans="1:33" ht="13.5" thickBot="1">
      <c r="A210" s="47"/>
      <c r="B210" s="50"/>
      <c r="H210" s="2"/>
      <c r="I210" s="48"/>
      <c r="J210" s="2"/>
      <c r="K210" s="27"/>
      <c r="L210" s="2"/>
      <c r="M210" s="2"/>
      <c r="N210" s="2"/>
      <c r="O210" s="2"/>
      <c r="P210" s="38"/>
      <c r="Q210" s="49"/>
      <c r="R210" s="50"/>
      <c r="W210" s="1"/>
      <c r="X210" s="38"/>
      <c r="Y210" s="2"/>
      <c r="Z210" s="27"/>
      <c r="AA210" s="2"/>
      <c r="AB210" s="2"/>
      <c r="AC210" s="2"/>
      <c r="AD210" s="2"/>
      <c r="AE210" s="38"/>
    </row>
    <row r="211" spans="1:33" ht="13.5" thickTop="1">
      <c r="A211" s="47"/>
      <c r="B211" s="48"/>
      <c r="C211" s="32"/>
      <c r="D211" s="32" t="s">
        <v>46</v>
      </c>
      <c r="E211" s="42"/>
      <c r="F211" s="32" t="s">
        <v>47</v>
      </c>
      <c r="G211" s="33"/>
      <c r="H211" s="2"/>
      <c r="I211" s="48"/>
      <c r="J211" s="2"/>
      <c r="K211" s="27"/>
      <c r="L211" s="2"/>
      <c r="M211" s="2"/>
      <c r="N211" s="2"/>
      <c r="O211" s="2"/>
      <c r="P211" s="38"/>
      <c r="Q211" s="49"/>
      <c r="R211" s="48"/>
      <c r="S211" s="32"/>
      <c r="T211" s="32" t="s">
        <v>46</v>
      </c>
      <c r="U211" s="42"/>
      <c r="V211" s="32" t="s">
        <v>47</v>
      </c>
      <c r="W211" s="33"/>
      <c r="X211" s="38"/>
      <c r="Y211" s="2"/>
      <c r="Z211" s="27"/>
      <c r="AA211" s="2"/>
      <c r="AB211" s="2"/>
      <c r="AC211" s="2"/>
      <c r="AD211" s="2"/>
      <c r="AE211" s="38"/>
    </row>
    <row r="212" spans="1:33">
      <c r="A212" s="47"/>
      <c r="B212" s="48"/>
      <c r="C212" s="56" t="s">
        <v>41</v>
      </c>
      <c r="D212" s="56"/>
      <c r="E212" s="57"/>
      <c r="F212" s="57"/>
      <c r="G212" s="58"/>
      <c r="H212" s="57"/>
      <c r="I212" s="57"/>
      <c r="J212" s="57"/>
      <c r="K212" s="59"/>
      <c r="L212" s="57"/>
      <c r="M212" s="57"/>
      <c r="N212" s="57"/>
      <c r="O212" s="57"/>
      <c r="P212" s="4"/>
      <c r="Q212" s="49"/>
      <c r="R212" s="48"/>
      <c r="S212" s="52" t="s">
        <v>41</v>
      </c>
      <c r="T212" s="52"/>
      <c r="U212" s="53"/>
      <c r="V212" s="53"/>
      <c r="W212" s="54"/>
      <c r="X212" s="53"/>
      <c r="Y212" s="53"/>
      <c r="Z212" s="55"/>
      <c r="AA212" s="53"/>
      <c r="AB212" s="53"/>
      <c r="AC212" s="53"/>
      <c r="AD212" s="53"/>
      <c r="AE212" s="4"/>
    </row>
    <row r="213" spans="1:33" ht="13.5" thickBot="1">
      <c r="A213" s="47"/>
      <c r="B213" s="48"/>
      <c r="C213" s="8" t="s">
        <v>36</v>
      </c>
      <c r="D213" s="8" t="s">
        <v>18</v>
      </c>
      <c r="E213" s="8" t="s">
        <v>14</v>
      </c>
      <c r="F213" s="8" t="s">
        <v>15</v>
      </c>
      <c r="G213" s="8" t="s">
        <v>16</v>
      </c>
      <c r="H213" s="2"/>
      <c r="I213" s="2"/>
      <c r="J213" s="2"/>
      <c r="K213" s="28" t="s">
        <v>17</v>
      </c>
      <c r="L213" s="9" t="s">
        <v>14</v>
      </c>
      <c r="M213" s="9" t="s">
        <v>15</v>
      </c>
      <c r="N213" s="9" t="s">
        <v>16</v>
      </c>
      <c r="O213" s="9" t="s">
        <v>19</v>
      </c>
      <c r="P213" s="4"/>
      <c r="Q213" s="49"/>
      <c r="R213" s="48"/>
      <c r="S213" s="8" t="s">
        <v>36</v>
      </c>
      <c r="T213" s="8" t="s">
        <v>18</v>
      </c>
      <c r="U213" s="8" t="s">
        <v>14</v>
      </c>
      <c r="V213" s="8" t="s">
        <v>15</v>
      </c>
      <c r="W213" s="8" t="s">
        <v>16</v>
      </c>
      <c r="X213" s="4"/>
      <c r="Y213" s="2"/>
      <c r="Z213" s="28" t="s">
        <v>17</v>
      </c>
      <c r="AA213" s="9" t="s">
        <v>14</v>
      </c>
      <c r="AB213" s="9" t="s">
        <v>15</v>
      </c>
      <c r="AC213" s="9" t="s">
        <v>16</v>
      </c>
      <c r="AD213" s="9" t="s">
        <v>19</v>
      </c>
      <c r="AE213" s="4"/>
    </row>
    <row r="214" spans="1:33" ht="14.25" thickTop="1" thickBot="1">
      <c r="A214" s="47"/>
      <c r="B214" s="50"/>
      <c r="C214" s="12"/>
      <c r="D214" s="12"/>
      <c r="E214" s="12"/>
      <c r="F214" s="12"/>
      <c r="G214" s="13"/>
      <c r="H214" s="18">
        <v>922689</v>
      </c>
      <c r="I214" s="51"/>
      <c r="J214" s="51"/>
      <c r="K214" s="29">
        <f>D214</f>
        <v>0</v>
      </c>
      <c r="L214" s="70">
        <f>E214</f>
        <v>0</v>
      </c>
      <c r="M214" s="17">
        <f>F214</f>
        <v>0</v>
      </c>
      <c r="N214" s="17">
        <f>G214</f>
        <v>0</v>
      </c>
      <c r="O214" s="20" t="e">
        <f>M215-M214</f>
        <v>#N/A</v>
      </c>
      <c r="P214" s="16"/>
      <c r="Q214" s="49"/>
      <c r="R214" s="50"/>
      <c r="S214" s="12"/>
      <c r="T214" s="12"/>
      <c r="U214" s="12"/>
      <c r="V214" s="12"/>
      <c r="W214" s="13"/>
      <c r="X214" s="16"/>
      <c r="Y214" s="6"/>
      <c r="Z214" s="29">
        <f>T214</f>
        <v>0</v>
      </c>
      <c r="AA214" s="70">
        <f>U214</f>
        <v>0</v>
      </c>
      <c r="AB214" s="17">
        <f>V214</f>
        <v>0</v>
      </c>
      <c r="AC214" s="17">
        <f>W214</f>
        <v>0</v>
      </c>
      <c r="AD214" s="20" t="e">
        <f>AB215-AB214</f>
        <v>#N/A</v>
      </c>
      <c r="AE214" s="16"/>
    </row>
    <row r="215" spans="1:33" ht="14.25" thickTop="1" thickBot="1">
      <c r="A215" s="47"/>
      <c r="B215" s="50"/>
      <c r="H215" s="18">
        <v>896047</v>
      </c>
      <c r="I215" s="51"/>
      <c r="J215" s="51"/>
      <c r="K215" s="30"/>
      <c r="L215" s="23" t="s">
        <v>20</v>
      </c>
      <c r="M215" s="3" t="e">
        <f>VLOOKUP($D214,$D231:$G245,3,FALSE)</f>
        <v>#N/A</v>
      </c>
      <c r="N215" s="17" t="e">
        <f>VLOOKUP($D$4,$D231:$G245,4,FALSE)</f>
        <v>#N/A</v>
      </c>
      <c r="O215" s="26" t="e">
        <f>N215-N214</f>
        <v>#N/A</v>
      </c>
      <c r="P215" s="16"/>
      <c r="Q215" s="49"/>
      <c r="R215" s="50"/>
      <c r="W215" s="1"/>
      <c r="X215" s="16"/>
      <c r="Y215" s="2"/>
      <c r="Z215" s="30"/>
      <c r="AA215" s="23" t="s">
        <v>20</v>
      </c>
      <c r="AB215" s="3" t="e">
        <f>VLOOKUP($T214,$T231:$W245,3,FALSE)</f>
        <v>#N/A</v>
      </c>
      <c r="AC215" s="17" t="e">
        <f>VLOOKUP($T214,$T231:$W245,4,FALSE)</f>
        <v>#N/A</v>
      </c>
      <c r="AD215" s="26" t="e">
        <f>AC215-AC214</f>
        <v>#N/A</v>
      </c>
      <c r="AE215" s="16"/>
    </row>
    <row r="216" spans="1:33" ht="14.25" thickTop="1" thickBot="1">
      <c r="A216" s="47"/>
      <c r="B216" s="50"/>
      <c r="H216" s="18">
        <v>588467</v>
      </c>
      <c r="I216" s="51"/>
      <c r="J216" s="51"/>
      <c r="K216" s="19">
        <f>D215</f>
        <v>0</v>
      </c>
      <c r="L216" s="70">
        <f>E215</f>
        <v>0</v>
      </c>
      <c r="M216" s="3">
        <f>F215</f>
        <v>0</v>
      </c>
      <c r="N216" s="17">
        <f>G215</f>
        <v>0</v>
      </c>
      <c r="O216" s="20" t="e">
        <f>M217-M216</f>
        <v>#N/A</v>
      </c>
      <c r="P216" s="16"/>
      <c r="Q216" s="49"/>
      <c r="R216" s="50"/>
      <c r="W216" s="1"/>
      <c r="X216" s="16"/>
      <c r="Y216" s="6"/>
      <c r="Z216" s="19">
        <f>T215</f>
        <v>0</v>
      </c>
      <c r="AA216" s="70">
        <f>U215</f>
        <v>0</v>
      </c>
      <c r="AB216" s="3">
        <f>V215</f>
        <v>0</v>
      </c>
      <c r="AC216" s="17">
        <f>W215</f>
        <v>0</v>
      </c>
      <c r="AD216" s="20" t="e">
        <f>AB217-AB216</f>
        <v>#N/A</v>
      </c>
      <c r="AE216" s="16"/>
      <c r="AG216" s="35"/>
    </row>
    <row r="217" spans="1:33" ht="14.25" thickTop="1" thickBot="1">
      <c r="A217" s="47"/>
      <c r="B217" s="50"/>
      <c r="H217" s="18">
        <v>600459</v>
      </c>
      <c r="I217" s="51"/>
      <c r="J217" s="51"/>
      <c r="K217" s="30"/>
      <c r="L217" s="23" t="s">
        <v>20</v>
      </c>
      <c r="M217" s="3" t="e">
        <f>VLOOKUP($D215,$D231:$G245,3,FALSE)</f>
        <v>#N/A</v>
      </c>
      <c r="N217" s="17" t="e">
        <f>VLOOKUP($D$5,$D231:$G245,4,FALSE)</f>
        <v>#N/A</v>
      </c>
      <c r="O217" s="26" t="e">
        <f>N217-N216</f>
        <v>#N/A</v>
      </c>
      <c r="P217" s="16"/>
      <c r="Q217" s="49"/>
      <c r="R217" s="50"/>
      <c r="W217" s="1"/>
      <c r="X217" s="16"/>
      <c r="Y217" s="2"/>
      <c r="Z217" s="30"/>
      <c r="AA217" s="23" t="s">
        <v>20</v>
      </c>
      <c r="AB217" s="3" t="e">
        <f>VLOOKUP($T215,$T231:$W245,3,FALSE)</f>
        <v>#N/A</v>
      </c>
      <c r="AC217" s="17" t="e">
        <f>VLOOKUP($T215,$T231:$W245,4,FALSE)</f>
        <v>#N/A</v>
      </c>
      <c r="AD217" s="26" t="e">
        <f>AC217-AC216</f>
        <v>#N/A</v>
      </c>
      <c r="AE217" s="16"/>
    </row>
    <row r="218" spans="1:33" ht="14.25" thickTop="1" thickBot="1">
      <c r="A218" s="47"/>
      <c r="B218" s="50"/>
      <c r="H218" s="18">
        <v>432716</v>
      </c>
      <c r="I218" s="51"/>
      <c r="J218" s="51"/>
      <c r="K218" s="19">
        <f>D216</f>
        <v>0</v>
      </c>
      <c r="L218" s="70">
        <f>E216</f>
        <v>0</v>
      </c>
      <c r="M218" s="3">
        <f>F216</f>
        <v>0</v>
      </c>
      <c r="N218" s="17">
        <f>G216</f>
        <v>0</v>
      </c>
      <c r="O218" s="20" t="e">
        <f>M219-M218</f>
        <v>#N/A</v>
      </c>
      <c r="P218" s="16"/>
      <c r="Q218" s="49"/>
      <c r="R218" s="50"/>
      <c r="W218" s="1"/>
      <c r="X218" s="16"/>
      <c r="Y218" s="6"/>
      <c r="Z218" s="19">
        <f>T216</f>
        <v>0</v>
      </c>
      <c r="AA218" s="70">
        <f>U216</f>
        <v>0</v>
      </c>
      <c r="AB218" s="3">
        <f>V216</f>
        <v>0</v>
      </c>
      <c r="AC218" s="17">
        <f>W216</f>
        <v>0</v>
      </c>
      <c r="AD218" s="20" t="e">
        <f>AB219-AB218</f>
        <v>#N/A</v>
      </c>
      <c r="AE218" s="16"/>
    </row>
    <row r="219" spans="1:33" ht="14.25" thickTop="1" thickBot="1">
      <c r="A219" s="47"/>
      <c r="B219" s="50"/>
      <c r="H219" s="18">
        <v>149538</v>
      </c>
      <c r="I219" s="51"/>
      <c r="J219" s="51"/>
      <c r="K219" s="30"/>
      <c r="L219" s="23" t="s">
        <v>20</v>
      </c>
      <c r="M219" s="3" t="e">
        <f>VLOOKUP($D216,$D231:$G245,3,FALSE)</f>
        <v>#N/A</v>
      </c>
      <c r="N219" s="17" t="e">
        <f>VLOOKUP($D216,$D231:$G245,4,FALSE)</f>
        <v>#N/A</v>
      </c>
      <c r="O219" s="26" t="e">
        <f>N219-N218</f>
        <v>#N/A</v>
      </c>
      <c r="P219" s="16"/>
      <c r="Q219" s="49"/>
      <c r="R219" s="50"/>
      <c r="W219" s="1"/>
      <c r="X219" s="16"/>
      <c r="Y219" s="2"/>
      <c r="Z219" s="30"/>
      <c r="AA219" s="23" t="s">
        <v>20</v>
      </c>
      <c r="AB219" s="3" t="e">
        <f>VLOOKUP($T216,$T231:$W245,3,FALSE)</f>
        <v>#N/A</v>
      </c>
      <c r="AC219" s="17" t="e">
        <f>VLOOKUP($T216,$T231:$W245,4,FALSE)</f>
        <v>#N/A</v>
      </c>
      <c r="AD219" s="26" t="e">
        <f>AC219-AC218</f>
        <v>#N/A</v>
      </c>
      <c r="AE219" s="16"/>
    </row>
    <row r="220" spans="1:33" ht="14.25" thickTop="1" thickBot="1">
      <c r="A220" s="47"/>
      <c r="B220" s="50"/>
      <c r="H220" s="18">
        <v>101933</v>
      </c>
      <c r="I220" s="51"/>
      <c r="J220" s="51"/>
      <c r="K220" s="19">
        <f>D217</f>
        <v>0</v>
      </c>
      <c r="L220" s="70">
        <f>E217</f>
        <v>0</v>
      </c>
      <c r="M220" s="3">
        <f>F217</f>
        <v>0</v>
      </c>
      <c r="N220" s="17">
        <f>G217</f>
        <v>0</v>
      </c>
      <c r="O220" s="20" t="e">
        <f>M221-M220</f>
        <v>#N/A</v>
      </c>
      <c r="P220" s="16"/>
      <c r="Q220" s="49"/>
      <c r="R220" s="50"/>
      <c r="W220" s="1"/>
      <c r="X220" s="16"/>
      <c r="Y220" s="6"/>
      <c r="Z220" s="19">
        <f>T217</f>
        <v>0</v>
      </c>
      <c r="AA220" s="70">
        <f>U217</f>
        <v>0</v>
      </c>
      <c r="AB220" s="3">
        <f>V217</f>
        <v>0</v>
      </c>
      <c r="AC220" s="17">
        <f>W217</f>
        <v>0</v>
      </c>
      <c r="AD220" s="20" t="e">
        <f>AB221-AB220</f>
        <v>#N/A</v>
      </c>
      <c r="AE220" s="16"/>
    </row>
    <row r="221" spans="1:33" ht="14.25" thickTop="1" thickBot="1">
      <c r="A221" s="47"/>
      <c r="B221" s="50"/>
      <c r="H221" s="18">
        <v>6850</v>
      </c>
      <c r="I221" s="51"/>
      <c r="J221" s="51"/>
      <c r="K221" s="30"/>
      <c r="L221" s="23" t="s">
        <v>20</v>
      </c>
      <c r="M221" s="3" t="e">
        <f>VLOOKUP($D217,$D231:$G245,3,FALSE)</f>
        <v>#N/A</v>
      </c>
      <c r="N221" s="17" t="e">
        <f>VLOOKUP($D217,$D231:$G245,4,FALSE)</f>
        <v>#N/A</v>
      </c>
      <c r="O221" s="26" t="e">
        <f>N221-N220</f>
        <v>#N/A</v>
      </c>
      <c r="P221" s="16"/>
      <c r="Q221" s="49"/>
      <c r="R221" s="50"/>
      <c r="W221" s="1"/>
      <c r="X221" s="16"/>
      <c r="Y221" s="2"/>
      <c r="Z221" s="30"/>
      <c r="AA221" s="23" t="s">
        <v>20</v>
      </c>
      <c r="AB221" s="3" t="e">
        <f>VLOOKUP($T217,$T231:$W245,3,FALSE)</f>
        <v>#N/A</v>
      </c>
      <c r="AC221" s="17" t="e">
        <f>VLOOKUP($T217,$T231:$W245,4,FALSE)</f>
        <v>#N/A</v>
      </c>
      <c r="AD221" s="26" t="e">
        <f>AC221-AC220</f>
        <v>#N/A</v>
      </c>
      <c r="AE221" s="16"/>
    </row>
    <row r="222" spans="1:33" ht="14.25" thickTop="1" thickBot="1">
      <c r="A222" s="47"/>
      <c r="B222" s="50"/>
      <c r="H222" s="18">
        <v>6165</v>
      </c>
      <c r="I222" s="51"/>
      <c r="J222" s="51"/>
      <c r="K222" s="29">
        <f>D218</f>
        <v>0</v>
      </c>
      <c r="L222" s="70">
        <f>E218</f>
        <v>0</v>
      </c>
      <c r="M222" s="3">
        <f>F218</f>
        <v>0</v>
      </c>
      <c r="N222" s="17">
        <f>G218</f>
        <v>0</v>
      </c>
      <c r="O222" s="20" t="e">
        <f>M223-M222</f>
        <v>#N/A</v>
      </c>
      <c r="P222" s="16"/>
      <c r="Q222" s="49"/>
      <c r="R222" s="50"/>
      <c r="W222" s="1"/>
      <c r="X222" s="16"/>
      <c r="Y222" s="6"/>
      <c r="Z222" s="29">
        <f>T218</f>
        <v>0</v>
      </c>
      <c r="AA222" s="70">
        <f>U218</f>
        <v>0</v>
      </c>
      <c r="AB222" s="3">
        <f>V218</f>
        <v>0</v>
      </c>
      <c r="AC222" s="17">
        <f>W218</f>
        <v>0</v>
      </c>
      <c r="AD222" s="20" t="e">
        <f>AB223-AB222</f>
        <v>#N/A</v>
      </c>
      <c r="AE222" s="16"/>
    </row>
    <row r="223" spans="1:33" ht="14.25" thickTop="1" thickBot="1">
      <c r="A223" s="47"/>
      <c r="B223" s="50"/>
      <c r="H223" s="18">
        <v>6010</v>
      </c>
      <c r="I223" s="51"/>
      <c r="J223" s="51"/>
      <c r="K223" s="30"/>
      <c r="L223" s="23" t="s">
        <v>20</v>
      </c>
      <c r="M223" s="3" t="e">
        <f>VLOOKUP($D218,$D231:$G245,3,FALSE)</f>
        <v>#N/A</v>
      </c>
      <c r="N223" s="17" t="e">
        <f>VLOOKUP($D218,$D231:$G245,4,FALSE)</f>
        <v>#N/A</v>
      </c>
      <c r="O223" s="26" t="e">
        <f>N223-N222</f>
        <v>#N/A</v>
      </c>
      <c r="P223" s="16"/>
      <c r="Q223" s="49"/>
      <c r="R223" s="50"/>
      <c r="W223" s="1"/>
      <c r="X223" s="16"/>
      <c r="Y223" s="2"/>
      <c r="Z223" s="30"/>
      <c r="AA223" s="23" t="s">
        <v>20</v>
      </c>
      <c r="AB223" s="3" t="e">
        <f>VLOOKUP($T218,$T231:$W245,3,FALSE)</f>
        <v>#N/A</v>
      </c>
      <c r="AC223" s="17" t="e">
        <f>VLOOKUP($T218,$T231:$W245,4,FALSE)</f>
        <v>#N/A</v>
      </c>
      <c r="AD223" s="26" t="e">
        <f>AC223-AC222</f>
        <v>#N/A</v>
      </c>
      <c r="AE223" s="16"/>
    </row>
    <row r="224" spans="1:33" ht="14.25" thickTop="1" thickBot="1">
      <c r="A224" s="47"/>
      <c r="B224" s="50"/>
      <c r="H224" s="2"/>
      <c r="I224" s="51"/>
      <c r="J224" s="51"/>
      <c r="K224" s="19">
        <f>D219</f>
        <v>0</v>
      </c>
      <c r="L224" s="70">
        <f>E219</f>
        <v>0</v>
      </c>
      <c r="M224" s="3">
        <f>F219</f>
        <v>0</v>
      </c>
      <c r="N224" s="17">
        <f>G219</f>
        <v>0</v>
      </c>
      <c r="O224" s="20" t="e">
        <f>M225-M224</f>
        <v>#N/A</v>
      </c>
      <c r="P224" s="16"/>
      <c r="Q224" s="49"/>
      <c r="R224" s="50"/>
      <c r="W224" s="1"/>
      <c r="X224" s="16"/>
      <c r="Y224" s="6"/>
      <c r="Z224" s="19">
        <f>T219</f>
        <v>0</v>
      </c>
      <c r="AA224" s="70">
        <f>U219</f>
        <v>0</v>
      </c>
      <c r="AB224" s="3">
        <f>V219</f>
        <v>0</v>
      </c>
      <c r="AC224" s="17">
        <f>W219</f>
        <v>0</v>
      </c>
      <c r="AD224" s="20" t="e">
        <f>AB225-AB224</f>
        <v>#N/A</v>
      </c>
      <c r="AE224" s="16"/>
    </row>
    <row r="225" spans="1:31" ht="14.25" thickTop="1" thickBot="1">
      <c r="A225" s="47"/>
      <c r="B225" s="50"/>
      <c r="H225" s="2"/>
      <c r="I225" s="51"/>
      <c r="J225" s="51"/>
      <c r="K225" s="30"/>
      <c r="L225" s="23" t="s">
        <v>20</v>
      </c>
      <c r="M225" s="3" t="e">
        <f>VLOOKUP($D219,$D231:$G245,3,FALSE)</f>
        <v>#N/A</v>
      </c>
      <c r="N225" s="17" t="e">
        <f>VLOOKUP($D219,$D231:$G245,4,FALSE)</f>
        <v>#N/A</v>
      </c>
      <c r="O225" s="26" t="e">
        <f>N225-N224</f>
        <v>#N/A</v>
      </c>
      <c r="P225" s="16"/>
      <c r="Q225" s="49"/>
      <c r="R225" s="50"/>
      <c r="W225" s="1"/>
      <c r="X225" s="16"/>
      <c r="Y225" s="2"/>
      <c r="Z225" s="30"/>
      <c r="AA225" s="23" t="s">
        <v>20</v>
      </c>
      <c r="AB225" s="3" t="e">
        <f>VLOOKUP($T219,$T231:$W245,3,FALSE)</f>
        <v>#N/A</v>
      </c>
      <c r="AC225" s="17" t="e">
        <f>VLOOKUP($T219,$T231:$W245,4,FALSE)</f>
        <v>#N/A</v>
      </c>
      <c r="AD225" s="26" t="e">
        <f>AC225-AC224</f>
        <v>#N/A</v>
      </c>
      <c r="AE225" s="16"/>
    </row>
    <row r="226" spans="1:31" ht="14.25" thickTop="1" thickBot="1">
      <c r="A226" s="47"/>
      <c r="B226" s="50"/>
      <c r="H226" s="2"/>
      <c r="I226" s="51"/>
      <c r="J226" s="51"/>
      <c r="K226" s="19">
        <f>D220</f>
        <v>0</v>
      </c>
      <c r="L226" s="70">
        <f>E220</f>
        <v>0</v>
      </c>
      <c r="M226" s="3">
        <f>F220</f>
        <v>0</v>
      </c>
      <c r="N226" s="17">
        <f>G220</f>
        <v>0</v>
      </c>
      <c r="O226" s="20" t="e">
        <f>M227-M226</f>
        <v>#N/A</v>
      </c>
      <c r="P226" s="16"/>
      <c r="Q226" s="49"/>
      <c r="R226" s="50"/>
      <c r="W226" s="1"/>
      <c r="X226" s="16"/>
      <c r="Y226" s="6"/>
      <c r="Z226" s="19">
        <f>T220</f>
        <v>0</v>
      </c>
      <c r="AA226" s="70">
        <f>U220</f>
        <v>0</v>
      </c>
      <c r="AB226" s="3">
        <f>V220</f>
        <v>0</v>
      </c>
      <c r="AC226" s="17">
        <f>W220</f>
        <v>0</v>
      </c>
      <c r="AD226" s="20" t="e">
        <f>AB227-AB226</f>
        <v>#N/A</v>
      </c>
      <c r="AE226" s="16"/>
    </row>
    <row r="227" spans="1:31" ht="14.25" thickTop="1" thickBot="1">
      <c r="A227" s="47"/>
      <c r="B227" s="50"/>
      <c r="H227" s="2"/>
      <c r="I227" s="51"/>
      <c r="J227" s="51"/>
      <c r="K227" s="30"/>
      <c r="L227" s="23" t="s">
        <v>20</v>
      </c>
      <c r="M227" s="3" t="e">
        <f>VLOOKUP($D220,$D231:$G245,3,FALSE)</f>
        <v>#N/A</v>
      </c>
      <c r="N227" s="17" t="e">
        <f>VLOOKUP($D220,$D231:$G245,4,FALSE)</f>
        <v>#N/A</v>
      </c>
      <c r="O227" s="26" t="e">
        <f>N227-N226</f>
        <v>#N/A</v>
      </c>
      <c r="P227" s="16"/>
      <c r="Q227" s="49"/>
      <c r="R227" s="50"/>
      <c r="W227" s="1"/>
      <c r="X227" s="16"/>
      <c r="Y227" s="2"/>
      <c r="Z227" s="30"/>
      <c r="AA227" s="23" t="s">
        <v>20</v>
      </c>
      <c r="AB227" s="3" t="e">
        <f>VLOOKUP($T220,$T231:$W245,3,FALSE)</f>
        <v>#N/A</v>
      </c>
      <c r="AC227" s="17" t="e">
        <f>VLOOKUP($T220,$T231:$W245,4,FALSE)</f>
        <v>#N/A</v>
      </c>
      <c r="AD227" s="26" t="e">
        <f>AC227-AC226</f>
        <v>#N/A</v>
      </c>
      <c r="AE227" s="16"/>
    </row>
    <row r="228" spans="1:31" ht="14.25" thickTop="1" thickBot="1">
      <c r="A228" s="47"/>
      <c r="B228" s="50"/>
      <c r="H228" s="2"/>
      <c r="I228" s="51"/>
      <c r="J228" s="51"/>
      <c r="K228" s="19">
        <f>D221</f>
        <v>0</v>
      </c>
      <c r="L228" s="70">
        <f>E221</f>
        <v>0</v>
      </c>
      <c r="M228" s="21">
        <f>F221</f>
        <v>0</v>
      </c>
      <c r="N228" s="22">
        <f>G221</f>
        <v>0</v>
      </c>
      <c r="O228" s="20" t="e">
        <f>M229-M228</f>
        <v>#N/A</v>
      </c>
      <c r="P228" s="16"/>
      <c r="Q228" s="49"/>
      <c r="R228" s="50"/>
      <c r="W228" s="1"/>
      <c r="X228" s="16"/>
      <c r="Y228" s="6"/>
      <c r="Z228" s="19">
        <f>T221</f>
        <v>0</v>
      </c>
      <c r="AA228" s="70">
        <f>U221</f>
        <v>0</v>
      </c>
      <c r="AB228" s="21">
        <f>V221</f>
        <v>0</v>
      </c>
      <c r="AC228" s="22">
        <f>W221</f>
        <v>0</v>
      </c>
      <c r="AD228" s="20" t="e">
        <f>AB229-AB228</f>
        <v>#N/A</v>
      </c>
      <c r="AE228" s="16"/>
    </row>
    <row r="229" spans="1:31" ht="14.25" thickTop="1" thickBot="1">
      <c r="A229" s="47"/>
      <c r="B229" s="48"/>
      <c r="C229" s="32"/>
      <c r="D229" s="32" t="s">
        <v>46</v>
      </c>
      <c r="E229" s="42"/>
      <c r="F229" s="32" t="s">
        <v>47</v>
      </c>
      <c r="G229" s="33"/>
      <c r="H229" s="2"/>
      <c r="I229" s="51"/>
      <c r="J229" s="51"/>
      <c r="K229" s="30"/>
      <c r="L229" s="23" t="s">
        <v>20</v>
      </c>
      <c r="M229" s="3" t="e">
        <f>VLOOKUP($D221,$D231:$G245,3,FALSE)</f>
        <v>#N/A</v>
      </c>
      <c r="N229" s="17" t="e">
        <f>VLOOKUP($D221,$D231:$G245,4,FALSE)</f>
        <v>#N/A</v>
      </c>
      <c r="O229" s="26" t="e">
        <f>N229-N228</f>
        <v>#N/A</v>
      </c>
      <c r="P229" s="16"/>
      <c r="Q229" s="49"/>
      <c r="R229" s="48"/>
      <c r="S229" s="32"/>
      <c r="T229" s="32" t="s">
        <v>46</v>
      </c>
      <c r="U229" s="42"/>
      <c r="V229" s="32" t="s">
        <v>47</v>
      </c>
      <c r="W229" s="33"/>
      <c r="X229" s="16"/>
      <c r="Y229" s="2"/>
      <c r="Z229" s="30"/>
      <c r="AA229" s="23" t="s">
        <v>20</v>
      </c>
      <c r="AB229" s="3" t="e">
        <f>VLOOKUP($T221,$T231:$W245,3,FALSE)</f>
        <v>#N/A</v>
      </c>
      <c r="AC229" s="17" t="e">
        <f>VLOOKUP($T221,$T231:$W245,4,FALSE)</f>
        <v>#N/A</v>
      </c>
      <c r="AD229" s="26" t="e">
        <f>AC229-AC228</f>
        <v>#N/A</v>
      </c>
      <c r="AE229" s="16"/>
    </row>
    <row r="230" spans="1:31" ht="14.25" thickTop="1" thickBot="1">
      <c r="A230" s="47"/>
      <c r="B230" s="51"/>
      <c r="C230" s="8" t="s">
        <v>36</v>
      </c>
      <c r="D230" s="8" t="s">
        <v>18</v>
      </c>
      <c r="E230" s="8" t="s">
        <v>14</v>
      </c>
      <c r="F230" s="8" t="s">
        <v>15</v>
      </c>
      <c r="G230" s="8" t="s">
        <v>16</v>
      </c>
      <c r="H230" s="2"/>
      <c r="I230" s="51"/>
      <c r="J230" s="51"/>
      <c r="K230" s="29">
        <f>D222</f>
        <v>0</v>
      </c>
      <c r="L230" s="70">
        <f>E222</f>
        <v>0</v>
      </c>
      <c r="M230" s="3">
        <f>F222</f>
        <v>0</v>
      </c>
      <c r="N230" s="17">
        <f>G222</f>
        <v>0</v>
      </c>
      <c r="O230" s="20" t="e">
        <f>M231-M230</f>
        <v>#N/A</v>
      </c>
      <c r="P230" s="16"/>
      <c r="Q230" s="49"/>
      <c r="R230" s="51"/>
      <c r="S230" s="8" t="s">
        <v>36</v>
      </c>
      <c r="T230" s="8" t="s">
        <v>18</v>
      </c>
      <c r="U230" s="8" t="s">
        <v>14</v>
      </c>
      <c r="V230" s="8" t="s">
        <v>15</v>
      </c>
      <c r="W230" s="8" t="s">
        <v>16</v>
      </c>
      <c r="X230" s="16"/>
      <c r="Y230" s="6"/>
      <c r="Z230" s="29">
        <f>T222</f>
        <v>0</v>
      </c>
      <c r="AA230" s="70">
        <f>U222</f>
        <v>0</v>
      </c>
      <c r="AB230" s="3">
        <f>V222</f>
        <v>0</v>
      </c>
      <c r="AC230" s="17">
        <f>W222</f>
        <v>0</v>
      </c>
      <c r="AD230" s="20" t="e">
        <f>AB231-AB230</f>
        <v>#N/A</v>
      </c>
      <c r="AE230" s="16"/>
    </row>
    <row r="231" spans="1:31" ht="14.25" thickTop="1" thickBot="1">
      <c r="A231" s="47"/>
      <c r="B231" s="50"/>
      <c r="C231" s="12"/>
      <c r="D231" s="12"/>
      <c r="E231" s="12"/>
      <c r="F231" s="12"/>
      <c r="G231" s="13"/>
      <c r="H231" s="2"/>
      <c r="I231" s="51"/>
      <c r="J231" s="51"/>
      <c r="K231" s="30"/>
      <c r="L231" s="23" t="s">
        <v>20</v>
      </c>
      <c r="M231" s="3" t="e">
        <f>VLOOKUP($D222,$D231:$G245,3,FALSE)</f>
        <v>#N/A</v>
      </c>
      <c r="N231" s="17" t="e">
        <f>VLOOKUP($D222,$D231:$G245,4,FALSE)</f>
        <v>#N/A</v>
      </c>
      <c r="O231" s="26" t="e">
        <f>N231-N230</f>
        <v>#N/A</v>
      </c>
      <c r="P231" s="16"/>
      <c r="Q231" s="49"/>
      <c r="R231" s="50"/>
      <c r="S231" s="12"/>
      <c r="T231" s="12"/>
      <c r="U231" s="12"/>
      <c r="V231" s="12"/>
      <c r="W231" s="13"/>
      <c r="X231" s="16"/>
      <c r="Y231" s="2"/>
      <c r="Z231" s="30"/>
      <c r="AA231" s="23" t="s">
        <v>20</v>
      </c>
      <c r="AB231" s="3" t="e">
        <f>VLOOKUP($T222,$T231:$W245,3,FALSE)</f>
        <v>#N/A</v>
      </c>
      <c r="AC231" s="17" t="e">
        <f>VLOOKUP($T222,$T231:$W245,4,FALSE)</f>
        <v>#N/A</v>
      </c>
      <c r="AD231" s="26" t="e">
        <f>AC231-AC230</f>
        <v>#N/A</v>
      </c>
      <c r="AE231" s="16"/>
    </row>
    <row r="232" spans="1:31" ht="14.25" thickTop="1" thickBot="1">
      <c r="A232" s="47"/>
      <c r="B232" s="50"/>
      <c r="H232" s="2"/>
      <c r="I232" s="51"/>
      <c r="J232" s="51"/>
      <c r="K232" s="19">
        <f>D223</f>
        <v>0</v>
      </c>
      <c r="L232" s="70">
        <f>E223</f>
        <v>0</v>
      </c>
      <c r="M232" s="3">
        <f>F223</f>
        <v>0</v>
      </c>
      <c r="N232" s="17">
        <f>G223</f>
        <v>0</v>
      </c>
      <c r="O232" s="20" t="e">
        <f>M233-M232</f>
        <v>#N/A</v>
      </c>
      <c r="P232" s="16"/>
      <c r="Q232" s="49"/>
      <c r="R232" s="50"/>
      <c r="W232" s="1"/>
      <c r="X232" s="16"/>
      <c r="Y232" s="6"/>
      <c r="Z232" s="19">
        <f>T223</f>
        <v>0</v>
      </c>
      <c r="AA232" s="70">
        <f>U223</f>
        <v>0</v>
      </c>
      <c r="AB232" s="3">
        <f>V223</f>
        <v>0</v>
      </c>
      <c r="AC232" s="17">
        <f>W223</f>
        <v>0</v>
      </c>
      <c r="AD232" s="20" t="e">
        <f>AB233-AB232</f>
        <v>#N/A</v>
      </c>
      <c r="AE232" s="16"/>
    </row>
    <row r="233" spans="1:31" ht="14.25" thickTop="1" thickBot="1">
      <c r="A233" s="47"/>
      <c r="B233" s="50"/>
      <c r="H233" s="2"/>
      <c r="I233" s="51"/>
      <c r="J233" s="51"/>
      <c r="K233" s="30"/>
      <c r="L233" s="23" t="s">
        <v>20</v>
      </c>
      <c r="M233" s="3" t="e">
        <f>VLOOKUP($D223,$D231:$G245,3,FALSE)</f>
        <v>#N/A</v>
      </c>
      <c r="N233" s="17" t="e">
        <f>VLOOKUP($D223,$D231:$G245,4,FALSE)</f>
        <v>#N/A</v>
      </c>
      <c r="O233" s="26" t="e">
        <f>N233-N232</f>
        <v>#N/A</v>
      </c>
      <c r="P233" s="16"/>
      <c r="Q233" s="49"/>
      <c r="R233" s="50"/>
      <c r="W233" s="1"/>
      <c r="X233" s="16"/>
      <c r="Y233" s="2"/>
      <c r="Z233" s="30"/>
      <c r="AA233" s="23" t="s">
        <v>20</v>
      </c>
      <c r="AB233" s="3" t="e">
        <f>VLOOKUP($T223,$T231:$W245,3,FALSE)</f>
        <v>#N/A</v>
      </c>
      <c r="AC233" s="17" t="e">
        <f>VLOOKUP($T223,$T231:$W245,4,FALSE)</f>
        <v>#N/A</v>
      </c>
      <c r="AD233" s="26" t="e">
        <f>AC233-AC232</f>
        <v>#N/A</v>
      </c>
      <c r="AE233" s="16"/>
    </row>
    <row r="234" spans="1:31" ht="14.25" thickTop="1" thickBot="1">
      <c r="A234" s="47"/>
      <c r="B234" s="50"/>
      <c r="H234" s="2"/>
      <c r="I234" s="51"/>
      <c r="J234" s="51"/>
      <c r="K234" s="19">
        <f>D224</f>
        <v>0</v>
      </c>
      <c r="L234" s="70">
        <f>E224</f>
        <v>0</v>
      </c>
      <c r="M234" s="3">
        <f>F224</f>
        <v>0</v>
      </c>
      <c r="N234" s="17">
        <f>G224</f>
        <v>0</v>
      </c>
      <c r="O234" s="20" t="e">
        <f>M235-M234</f>
        <v>#N/A</v>
      </c>
      <c r="P234" s="16"/>
      <c r="Q234" s="49"/>
      <c r="R234" s="50"/>
      <c r="W234" s="1"/>
      <c r="X234" s="16"/>
      <c r="Y234" s="6"/>
      <c r="Z234" s="19">
        <f>T224</f>
        <v>0</v>
      </c>
      <c r="AA234" s="70">
        <f>U224</f>
        <v>0</v>
      </c>
      <c r="AB234" s="3">
        <f>V224</f>
        <v>0</v>
      </c>
      <c r="AC234" s="17">
        <f>W224</f>
        <v>0</v>
      </c>
      <c r="AD234" s="20" t="e">
        <f>AB235-AB234</f>
        <v>#N/A</v>
      </c>
      <c r="AE234" s="16"/>
    </row>
    <row r="235" spans="1:31" ht="14.25" thickTop="1" thickBot="1">
      <c r="A235" s="47"/>
      <c r="B235" s="50"/>
      <c r="H235" s="2"/>
      <c r="I235" s="51"/>
      <c r="J235" s="51"/>
      <c r="K235" s="30"/>
      <c r="L235" s="23" t="s">
        <v>20</v>
      </c>
      <c r="M235" s="3" t="e">
        <f>VLOOKUP($D224,$D231:$G245,3,FALSE)</f>
        <v>#N/A</v>
      </c>
      <c r="N235" s="17" t="e">
        <f>VLOOKUP($D224,$D231:$G245,4,FALSE)</f>
        <v>#N/A</v>
      </c>
      <c r="O235" s="26" t="e">
        <f>N235-N234</f>
        <v>#N/A</v>
      </c>
      <c r="P235" s="16"/>
      <c r="Q235" s="49"/>
      <c r="R235" s="50"/>
      <c r="W235" s="1"/>
      <c r="X235" s="16"/>
      <c r="Y235" s="2"/>
      <c r="Z235" s="30"/>
      <c r="AA235" s="23" t="s">
        <v>20</v>
      </c>
      <c r="AB235" s="3" t="e">
        <f>VLOOKUP($T224,$T231:$W245,3,FALSE)</f>
        <v>#N/A</v>
      </c>
      <c r="AC235" s="17" t="e">
        <f>VLOOKUP($T224,$T231:$W245,4,FALSE)</f>
        <v>#N/A</v>
      </c>
      <c r="AD235" s="26" t="e">
        <f>AC235-AC234</f>
        <v>#N/A</v>
      </c>
      <c r="AE235" s="16"/>
    </row>
    <row r="236" spans="1:31" ht="14.25" thickTop="1" thickBot="1">
      <c r="A236" s="47"/>
      <c r="B236" s="50"/>
      <c r="H236" s="2"/>
      <c r="I236" s="51"/>
      <c r="J236" s="51"/>
      <c r="K236" s="19">
        <f>D225</f>
        <v>0</v>
      </c>
      <c r="L236" s="70">
        <f>E225</f>
        <v>0</v>
      </c>
      <c r="M236" s="3">
        <f>F225</f>
        <v>0</v>
      </c>
      <c r="N236" s="17">
        <f>G225</f>
        <v>0</v>
      </c>
      <c r="O236" s="20" t="e">
        <f>M237-M236</f>
        <v>#N/A</v>
      </c>
      <c r="P236" s="16"/>
      <c r="Q236" s="49"/>
      <c r="R236" s="50"/>
      <c r="W236" s="1"/>
      <c r="X236" s="16"/>
      <c r="Y236" s="6"/>
      <c r="Z236" s="19">
        <f>T225</f>
        <v>0</v>
      </c>
      <c r="AA236" s="70">
        <f>U225</f>
        <v>0</v>
      </c>
      <c r="AB236" s="3">
        <f>V225</f>
        <v>0</v>
      </c>
      <c r="AC236" s="17">
        <f>W225</f>
        <v>0</v>
      </c>
      <c r="AD236" s="20" t="e">
        <f>AB237-AB236</f>
        <v>#N/A</v>
      </c>
      <c r="AE236" s="16"/>
    </row>
    <row r="237" spans="1:31" ht="14.25" thickTop="1" thickBot="1">
      <c r="A237" s="47"/>
      <c r="B237" s="50"/>
      <c r="H237" s="2"/>
      <c r="I237" s="51"/>
      <c r="J237" s="51"/>
      <c r="K237" s="30"/>
      <c r="L237" s="23" t="s">
        <v>20</v>
      </c>
      <c r="M237" s="3" t="e">
        <f>VLOOKUP($D225,$D231:$G245,3,FALSE)</f>
        <v>#N/A</v>
      </c>
      <c r="N237" s="17" t="e">
        <f>VLOOKUP($D225,$D231:$G245,4,FALSE)</f>
        <v>#N/A</v>
      </c>
      <c r="O237" s="26" t="e">
        <f>N237-N236</f>
        <v>#N/A</v>
      </c>
      <c r="P237" s="16"/>
      <c r="Q237" s="49"/>
      <c r="R237" s="50"/>
      <c r="W237" s="1"/>
      <c r="X237" s="16"/>
      <c r="Y237" s="2"/>
      <c r="Z237" s="30"/>
      <c r="AA237" s="23" t="s">
        <v>20</v>
      </c>
      <c r="AB237" s="3" t="e">
        <f>VLOOKUP($T225,$T231:$W245,3,FALSE)</f>
        <v>#N/A</v>
      </c>
      <c r="AC237" s="17" t="e">
        <f>VLOOKUP($T225,$T231:$W245,4,FALSE)</f>
        <v>#N/A</v>
      </c>
      <c r="AD237" s="26" t="e">
        <f>AC237-AC236</f>
        <v>#N/A</v>
      </c>
      <c r="AE237" s="16"/>
    </row>
    <row r="238" spans="1:31" ht="14.25" thickTop="1" thickBot="1">
      <c r="A238" s="47"/>
      <c r="B238" s="50"/>
      <c r="H238" s="2"/>
      <c r="I238" s="51"/>
      <c r="J238" s="51"/>
      <c r="K238" s="29">
        <f>D226</f>
        <v>0</v>
      </c>
      <c r="L238" s="70">
        <f>E226</f>
        <v>0</v>
      </c>
      <c r="M238" s="3">
        <f>F226</f>
        <v>0</v>
      </c>
      <c r="N238" s="17">
        <f>G226</f>
        <v>0</v>
      </c>
      <c r="O238" s="20" t="e">
        <f>M239-M238</f>
        <v>#N/A</v>
      </c>
      <c r="P238" s="16"/>
      <c r="Q238" s="49"/>
      <c r="R238" s="50"/>
      <c r="W238" s="1"/>
      <c r="X238" s="16"/>
      <c r="Y238" s="6"/>
      <c r="Z238" s="29">
        <f>T226</f>
        <v>0</v>
      </c>
      <c r="AA238" s="70">
        <f>U226</f>
        <v>0</v>
      </c>
      <c r="AB238" s="3">
        <f>V226</f>
        <v>0</v>
      </c>
      <c r="AC238" s="17">
        <f>W226</f>
        <v>0</v>
      </c>
      <c r="AD238" s="20" t="e">
        <f>AB239-AB238</f>
        <v>#N/A</v>
      </c>
      <c r="AE238" s="16"/>
    </row>
    <row r="239" spans="1:31" ht="14.25" thickTop="1" thickBot="1">
      <c r="A239" s="47"/>
      <c r="B239" s="50"/>
      <c r="H239" s="2"/>
      <c r="I239" s="51"/>
      <c r="J239" s="51"/>
      <c r="K239" s="30"/>
      <c r="L239" s="23" t="s">
        <v>20</v>
      </c>
      <c r="M239" s="3" t="e">
        <f>VLOOKUP($D226,$D231:$G245,3,FALSE)</f>
        <v>#N/A</v>
      </c>
      <c r="N239" s="17" t="e">
        <f>VLOOKUP($D226,$D231:$G245,4,FALSE)</f>
        <v>#N/A</v>
      </c>
      <c r="O239" s="26" t="e">
        <f>N239-N238</f>
        <v>#N/A</v>
      </c>
      <c r="P239" s="16"/>
      <c r="Q239" s="49"/>
      <c r="R239" s="50"/>
      <c r="W239" s="1"/>
      <c r="X239" s="16"/>
      <c r="Y239" s="2"/>
      <c r="Z239" s="30"/>
      <c r="AA239" s="23" t="s">
        <v>20</v>
      </c>
      <c r="AB239" s="3" t="e">
        <f>VLOOKUP($T226,$T231:$W245,3,FALSE)</f>
        <v>#N/A</v>
      </c>
      <c r="AC239" s="17" t="e">
        <f>VLOOKUP($T226,$T231:$W245,4,FALSE)</f>
        <v>#N/A</v>
      </c>
      <c r="AD239" s="26" t="e">
        <f>AC239-AC238</f>
        <v>#N/A</v>
      </c>
      <c r="AE239" s="16"/>
    </row>
    <row r="240" spans="1:31" ht="14.25" thickTop="1" thickBot="1">
      <c r="A240" s="47"/>
      <c r="B240" s="50"/>
      <c r="H240" s="2"/>
      <c r="I240" s="51"/>
      <c r="J240" s="51"/>
      <c r="K240" s="19">
        <f>D227</f>
        <v>0</v>
      </c>
      <c r="L240" s="70">
        <f>E227</f>
        <v>0</v>
      </c>
      <c r="M240" s="3">
        <f>F227</f>
        <v>0</v>
      </c>
      <c r="N240" s="17">
        <f>G227</f>
        <v>0</v>
      </c>
      <c r="O240" s="20" t="e">
        <f>M241-M240</f>
        <v>#N/A</v>
      </c>
      <c r="P240" s="16"/>
      <c r="Q240" s="49"/>
      <c r="R240" s="50"/>
      <c r="W240" s="1"/>
      <c r="X240" s="16"/>
      <c r="Y240" s="6"/>
      <c r="Z240" s="19">
        <f>T227</f>
        <v>0</v>
      </c>
      <c r="AA240" s="70">
        <f>U227</f>
        <v>0</v>
      </c>
      <c r="AB240" s="3">
        <f>V227</f>
        <v>0</v>
      </c>
      <c r="AC240" s="17">
        <f>W227</f>
        <v>0</v>
      </c>
      <c r="AD240" s="20" t="e">
        <f>AB241-AB240</f>
        <v>#N/A</v>
      </c>
      <c r="AE240" s="16"/>
    </row>
    <row r="241" spans="1:33" ht="14.25" thickTop="1" thickBot="1">
      <c r="A241" s="47"/>
      <c r="B241" s="50"/>
      <c r="H241" s="2"/>
      <c r="I241" s="51"/>
      <c r="J241" s="51"/>
      <c r="K241" s="30"/>
      <c r="L241" s="23" t="s">
        <v>20</v>
      </c>
      <c r="M241" s="3" t="e">
        <f>VLOOKUP($D227,$D231:$G245,3,FALSE)</f>
        <v>#N/A</v>
      </c>
      <c r="N241" s="17" t="e">
        <f>VLOOKUP($D227,$D231:$G245,4,FALSE)</f>
        <v>#N/A</v>
      </c>
      <c r="O241" s="26" t="e">
        <f>N241-N240</f>
        <v>#N/A</v>
      </c>
      <c r="P241" s="16"/>
      <c r="Q241" s="49"/>
      <c r="R241" s="50"/>
      <c r="W241" s="1"/>
      <c r="X241" s="16"/>
      <c r="Y241" s="2"/>
      <c r="Z241" s="30"/>
      <c r="AA241" s="23" t="s">
        <v>20</v>
      </c>
      <c r="AB241" s="3" t="e">
        <f>VLOOKUP($T227,$T231:$W245,3,FALSE)</f>
        <v>#N/A</v>
      </c>
      <c r="AC241" s="17" t="e">
        <f>VLOOKUP($T227,$T231:$W245,4,FALSE)</f>
        <v>#N/A</v>
      </c>
      <c r="AD241" s="26" t="e">
        <f>AC241-AC240</f>
        <v>#N/A</v>
      </c>
      <c r="AE241" s="16"/>
    </row>
    <row r="242" spans="1:33" ht="14.25" thickTop="1" thickBot="1">
      <c r="A242" s="47"/>
      <c r="B242" s="50"/>
      <c r="H242" s="2"/>
      <c r="I242" s="51"/>
      <c r="J242" s="51"/>
      <c r="K242" s="19">
        <f>D228</f>
        <v>0</v>
      </c>
      <c r="L242" s="70">
        <f>E228</f>
        <v>0</v>
      </c>
      <c r="M242" s="3">
        <f>F228</f>
        <v>0</v>
      </c>
      <c r="N242" s="17">
        <f>G228</f>
        <v>0</v>
      </c>
      <c r="O242" s="20" t="e">
        <f>M243-M242</f>
        <v>#N/A</v>
      </c>
      <c r="P242" s="16"/>
      <c r="Q242" s="49"/>
      <c r="R242" s="50"/>
      <c r="W242" s="1"/>
      <c r="X242" s="16"/>
      <c r="Y242" s="6"/>
      <c r="Z242" s="19">
        <f>T228</f>
        <v>0</v>
      </c>
      <c r="AA242" s="70">
        <f>U228</f>
        <v>0</v>
      </c>
      <c r="AB242" s="3">
        <f>V228</f>
        <v>0</v>
      </c>
      <c r="AC242" s="17">
        <f>W228</f>
        <v>0</v>
      </c>
      <c r="AD242" s="20" t="e">
        <f>AB243-AB242</f>
        <v>#N/A</v>
      </c>
      <c r="AE242" s="16"/>
    </row>
    <row r="243" spans="1:33" ht="14.25" thickTop="1" thickBot="1">
      <c r="A243" s="47"/>
      <c r="B243" s="50"/>
      <c r="H243" s="2"/>
      <c r="I243" s="51"/>
      <c r="J243" s="51"/>
      <c r="K243" s="30"/>
      <c r="L243" s="24" t="s">
        <v>20</v>
      </c>
      <c r="M243" s="3" t="e">
        <f>VLOOKUP($D228,$D231:$G245,3,FALSE)</f>
        <v>#N/A</v>
      </c>
      <c r="N243" s="17" t="e">
        <f>VLOOKUP($D228,$D231:$G245,4,FALSE)</f>
        <v>#N/A</v>
      </c>
      <c r="O243" s="25" t="e">
        <f>N243-N242</f>
        <v>#N/A</v>
      </c>
      <c r="P243" s="38"/>
      <c r="Q243" s="49"/>
      <c r="R243" s="50"/>
      <c r="W243" s="1"/>
      <c r="X243" s="38"/>
      <c r="Y243" s="2"/>
      <c r="Z243" s="30"/>
      <c r="AA243" s="24" t="s">
        <v>20</v>
      </c>
      <c r="AB243" s="3" t="e">
        <f>VLOOKUP($T228,$T231:$W245,3,FALSE)</f>
        <v>#N/A</v>
      </c>
      <c r="AC243" s="17" t="e">
        <f>VLOOKUP($T228,$T231:$W245,4,FALSE)</f>
        <v>#N/A</v>
      </c>
      <c r="AD243" s="25" t="e">
        <f>AC243-AC242</f>
        <v>#N/A</v>
      </c>
      <c r="AE243" s="38"/>
    </row>
    <row r="244" spans="1:33" ht="13.5" thickTop="1">
      <c r="A244" s="47"/>
      <c r="B244" s="50"/>
      <c r="H244" s="2"/>
      <c r="I244" s="48"/>
      <c r="J244" s="2"/>
      <c r="K244" s="31"/>
      <c r="L244" s="6"/>
      <c r="M244" s="11"/>
      <c r="N244" s="11"/>
      <c r="O244" s="6"/>
      <c r="P244" s="38"/>
      <c r="Q244" s="49"/>
      <c r="R244" s="50"/>
      <c r="W244" s="1"/>
      <c r="X244" s="38"/>
      <c r="Y244" s="2"/>
      <c r="Z244" s="31"/>
      <c r="AA244" s="6"/>
      <c r="AB244" s="11"/>
      <c r="AC244" s="11"/>
      <c r="AD244" s="6"/>
      <c r="AE244" s="38"/>
    </row>
    <row r="245" spans="1:33" ht="13.5" thickBot="1">
      <c r="A245" s="47"/>
      <c r="B245" s="50"/>
      <c r="H245" s="2"/>
      <c r="I245" s="48"/>
      <c r="J245" s="2"/>
      <c r="K245" s="27"/>
      <c r="L245" s="2"/>
      <c r="M245" s="2"/>
      <c r="N245" s="2"/>
      <c r="O245" s="2"/>
      <c r="P245" s="38"/>
      <c r="Q245" s="49"/>
      <c r="R245" s="50"/>
      <c r="W245" s="1"/>
      <c r="X245" s="38"/>
      <c r="Y245" s="2"/>
      <c r="Z245" s="27"/>
      <c r="AA245" s="2"/>
      <c r="AB245" s="2"/>
      <c r="AC245" s="2"/>
      <c r="AD245" s="2"/>
      <c r="AE245" s="38"/>
    </row>
    <row r="246" spans="1:33" ht="13.5" thickTop="1">
      <c r="A246" s="47"/>
      <c r="B246" s="48"/>
      <c r="C246" s="32"/>
      <c r="D246" s="32" t="s">
        <v>46</v>
      </c>
      <c r="E246" s="42"/>
      <c r="F246" s="32" t="s">
        <v>47</v>
      </c>
      <c r="G246" s="33"/>
      <c r="H246" s="2"/>
      <c r="I246" s="48"/>
      <c r="J246" s="2"/>
      <c r="K246" s="27"/>
      <c r="L246" s="2"/>
      <c r="M246" s="2"/>
      <c r="N246" s="2"/>
      <c r="O246" s="2"/>
      <c r="P246" s="38"/>
      <c r="Q246" s="49"/>
      <c r="R246" s="48"/>
      <c r="S246" s="32"/>
      <c r="T246" s="32" t="s">
        <v>46</v>
      </c>
      <c r="U246" s="42"/>
      <c r="V246" s="32" t="s">
        <v>47</v>
      </c>
      <c r="W246" s="33"/>
      <c r="X246" s="38"/>
      <c r="Y246" s="2"/>
      <c r="Z246" s="27"/>
      <c r="AA246" s="2"/>
      <c r="AB246" s="2"/>
      <c r="AC246" s="2"/>
      <c r="AD246" s="2"/>
      <c r="AE246" s="38"/>
    </row>
    <row r="247" spans="1:33">
      <c r="A247" s="47"/>
      <c r="B247" s="48"/>
      <c r="C247" s="64" t="s">
        <v>41</v>
      </c>
      <c r="D247" s="64"/>
      <c r="E247" s="65"/>
      <c r="F247" s="65"/>
      <c r="G247" s="66"/>
      <c r="H247" s="65"/>
      <c r="I247" s="65"/>
      <c r="J247" s="65"/>
      <c r="K247" s="67"/>
      <c r="L247" s="65"/>
      <c r="M247" s="65"/>
      <c r="N247" s="65"/>
      <c r="O247" s="65"/>
      <c r="P247" s="4"/>
      <c r="Q247" s="49"/>
      <c r="R247" s="48"/>
      <c r="S247" s="61" t="s">
        <v>41</v>
      </c>
      <c r="T247" s="61"/>
      <c r="U247" s="60"/>
      <c r="V247" s="60"/>
      <c r="W247" s="62"/>
      <c r="X247" s="60"/>
      <c r="Y247" s="60"/>
      <c r="Z247" s="63"/>
      <c r="AA247" s="60"/>
      <c r="AB247" s="60"/>
      <c r="AC247" s="60"/>
      <c r="AD247" s="60"/>
      <c r="AE247" s="4"/>
    </row>
    <row r="248" spans="1:33" ht="13.5" thickBot="1">
      <c r="A248" s="47"/>
      <c r="B248" s="48"/>
      <c r="C248" s="8" t="s">
        <v>36</v>
      </c>
      <c r="D248" s="8" t="s">
        <v>18</v>
      </c>
      <c r="E248" s="8" t="s">
        <v>14</v>
      </c>
      <c r="F248" s="8" t="s">
        <v>15</v>
      </c>
      <c r="G248" s="8" t="s">
        <v>16</v>
      </c>
      <c r="H248" s="2"/>
      <c r="I248" s="2"/>
      <c r="J248" s="2"/>
      <c r="K248" s="28" t="s">
        <v>17</v>
      </c>
      <c r="L248" s="9" t="s">
        <v>14</v>
      </c>
      <c r="M248" s="9" t="s">
        <v>15</v>
      </c>
      <c r="N248" s="9" t="s">
        <v>16</v>
      </c>
      <c r="O248" s="9" t="s">
        <v>19</v>
      </c>
      <c r="P248" s="4"/>
      <c r="Q248" s="49"/>
      <c r="R248" s="48"/>
      <c r="S248" s="8" t="s">
        <v>36</v>
      </c>
      <c r="T248" s="8" t="s">
        <v>18</v>
      </c>
      <c r="U248" s="8" t="s">
        <v>14</v>
      </c>
      <c r="V248" s="8" t="s">
        <v>15</v>
      </c>
      <c r="W248" s="8" t="s">
        <v>16</v>
      </c>
      <c r="X248" s="4"/>
      <c r="Y248" s="2"/>
      <c r="Z248" s="28" t="s">
        <v>17</v>
      </c>
      <c r="AA248" s="9" t="s">
        <v>14</v>
      </c>
      <c r="AB248" s="9" t="s">
        <v>15</v>
      </c>
      <c r="AC248" s="9" t="s">
        <v>16</v>
      </c>
      <c r="AD248" s="9" t="s">
        <v>19</v>
      </c>
      <c r="AE248" s="4"/>
    </row>
    <row r="249" spans="1:33" ht="14.25" thickTop="1" thickBot="1">
      <c r="A249" s="47"/>
      <c r="B249" s="50"/>
      <c r="C249" s="12"/>
      <c r="D249" s="12"/>
      <c r="E249" s="12"/>
      <c r="F249" s="12"/>
      <c r="G249" s="13"/>
      <c r="H249" s="18">
        <v>922689</v>
      </c>
      <c r="I249" s="51"/>
      <c r="J249" s="51"/>
      <c r="K249" s="29">
        <f>D249</f>
        <v>0</v>
      </c>
      <c r="L249" s="70">
        <f>E249</f>
        <v>0</v>
      </c>
      <c r="M249" s="17">
        <f>F249</f>
        <v>0</v>
      </c>
      <c r="N249" s="17">
        <f>G249</f>
        <v>0</v>
      </c>
      <c r="O249" s="20" t="e">
        <f>M250-M249</f>
        <v>#N/A</v>
      </c>
      <c r="P249" s="16"/>
      <c r="Q249" s="49"/>
      <c r="R249" s="50"/>
      <c r="S249" s="12"/>
      <c r="T249" s="12"/>
      <c r="U249" s="12"/>
      <c r="V249" s="12"/>
      <c r="W249" s="13"/>
      <c r="X249" s="16"/>
      <c r="Y249" s="6"/>
      <c r="Z249" s="29">
        <f>T249</f>
        <v>0</v>
      </c>
      <c r="AA249" s="70">
        <f>U249</f>
        <v>0</v>
      </c>
      <c r="AB249" s="17">
        <f>V249</f>
        <v>0</v>
      </c>
      <c r="AC249" s="17">
        <f>W249</f>
        <v>0</v>
      </c>
      <c r="AD249" s="20" t="e">
        <f>AB250-AB249</f>
        <v>#N/A</v>
      </c>
      <c r="AE249" s="16"/>
    </row>
    <row r="250" spans="1:33" ht="14.25" thickTop="1" thickBot="1">
      <c r="A250" s="47"/>
      <c r="B250" s="50"/>
      <c r="H250" s="18">
        <v>896047</v>
      </c>
      <c r="I250" s="51"/>
      <c r="J250" s="51"/>
      <c r="K250" s="30"/>
      <c r="L250" s="23" t="s">
        <v>20</v>
      </c>
      <c r="M250" s="3" t="e">
        <f>VLOOKUP($D249,$D266:$G280,3,FALSE)</f>
        <v>#N/A</v>
      </c>
      <c r="N250" s="17" t="e">
        <f>VLOOKUP($D$4,$D266:$G280,4,FALSE)</f>
        <v>#N/A</v>
      </c>
      <c r="O250" s="26" t="e">
        <f>N250-N249</f>
        <v>#N/A</v>
      </c>
      <c r="P250" s="16"/>
      <c r="Q250" s="49"/>
      <c r="R250" s="50"/>
      <c r="W250" s="1"/>
      <c r="X250" s="16"/>
      <c r="Y250" s="2"/>
      <c r="Z250" s="30"/>
      <c r="AA250" s="23" t="s">
        <v>20</v>
      </c>
      <c r="AB250" s="3" t="e">
        <f>VLOOKUP($T249,$T266:$W280,3,FALSE)</f>
        <v>#N/A</v>
      </c>
      <c r="AC250" s="17" t="e">
        <f>VLOOKUP($T249,$T266:$W280,4,FALSE)</f>
        <v>#N/A</v>
      </c>
      <c r="AD250" s="26" t="e">
        <f>AC250-AC249</f>
        <v>#N/A</v>
      </c>
      <c r="AE250" s="16"/>
    </row>
    <row r="251" spans="1:33" ht="14.25" thickTop="1" thickBot="1">
      <c r="A251" s="47"/>
      <c r="B251" s="50"/>
      <c r="H251" s="18">
        <v>588467</v>
      </c>
      <c r="I251" s="51"/>
      <c r="J251" s="51"/>
      <c r="K251" s="19">
        <f>D250</f>
        <v>0</v>
      </c>
      <c r="L251" s="70">
        <f>E250</f>
        <v>0</v>
      </c>
      <c r="M251" s="3">
        <f>F250</f>
        <v>0</v>
      </c>
      <c r="N251" s="17">
        <f>G250</f>
        <v>0</v>
      </c>
      <c r="O251" s="20" t="e">
        <f>M252-M251</f>
        <v>#N/A</v>
      </c>
      <c r="P251" s="16"/>
      <c r="Q251" s="49"/>
      <c r="R251" s="50"/>
      <c r="W251" s="1"/>
      <c r="X251" s="16"/>
      <c r="Y251" s="6"/>
      <c r="Z251" s="19">
        <f>T250</f>
        <v>0</v>
      </c>
      <c r="AA251" s="70">
        <f>U250</f>
        <v>0</v>
      </c>
      <c r="AB251" s="3">
        <f>V250</f>
        <v>0</v>
      </c>
      <c r="AC251" s="17">
        <f>W250</f>
        <v>0</v>
      </c>
      <c r="AD251" s="20" t="e">
        <f>AB252-AB251</f>
        <v>#N/A</v>
      </c>
      <c r="AE251" s="16"/>
      <c r="AG251" s="35"/>
    </row>
    <row r="252" spans="1:33" ht="14.25" thickTop="1" thickBot="1">
      <c r="A252" s="47"/>
      <c r="B252" s="50"/>
      <c r="H252" s="18">
        <v>600459</v>
      </c>
      <c r="I252" s="51"/>
      <c r="J252" s="51"/>
      <c r="K252" s="30"/>
      <c r="L252" s="23" t="s">
        <v>20</v>
      </c>
      <c r="M252" s="3" t="e">
        <f>VLOOKUP($D250,$D266:$G280,3,FALSE)</f>
        <v>#N/A</v>
      </c>
      <c r="N252" s="17" t="e">
        <f>VLOOKUP($D$5,$D266:$G280,4,FALSE)</f>
        <v>#N/A</v>
      </c>
      <c r="O252" s="26" t="e">
        <f>N252-N251</f>
        <v>#N/A</v>
      </c>
      <c r="P252" s="16"/>
      <c r="Q252" s="49"/>
      <c r="R252" s="50"/>
      <c r="W252" s="1"/>
      <c r="X252" s="16"/>
      <c r="Y252" s="2"/>
      <c r="Z252" s="30"/>
      <c r="AA252" s="23" t="s">
        <v>20</v>
      </c>
      <c r="AB252" s="3" t="e">
        <f>VLOOKUP($T250,$T266:$W280,3,FALSE)</f>
        <v>#N/A</v>
      </c>
      <c r="AC252" s="17" t="e">
        <f>VLOOKUP($T250,$T266:$W280,4,FALSE)</f>
        <v>#N/A</v>
      </c>
      <c r="AD252" s="26" t="e">
        <f>AC252-AC251</f>
        <v>#N/A</v>
      </c>
      <c r="AE252" s="16"/>
    </row>
    <row r="253" spans="1:33" ht="14.25" thickTop="1" thickBot="1">
      <c r="A253" s="47"/>
      <c r="B253" s="50"/>
      <c r="H253" s="18">
        <v>432716</v>
      </c>
      <c r="I253" s="51"/>
      <c r="J253" s="51"/>
      <c r="K253" s="19">
        <f>D251</f>
        <v>0</v>
      </c>
      <c r="L253" s="70">
        <f>E251</f>
        <v>0</v>
      </c>
      <c r="M253" s="3">
        <f>F251</f>
        <v>0</v>
      </c>
      <c r="N253" s="17">
        <f>G251</f>
        <v>0</v>
      </c>
      <c r="O253" s="20" t="e">
        <f>M254-M253</f>
        <v>#N/A</v>
      </c>
      <c r="P253" s="16"/>
      <c r="Q253" s="49"/>
      <c r="R253" s="50"/>
      <c r="W253" s="1"/>
      <c r="X253" s="16"/>
      <c r="Y253" s="6"/>
      <c r="Z253" s="19">
        <f>T251</f>
        <v>0</v>
      </c>
      <c r="AA253" s="70">
        <f>U251</f>
        <v>0</v>
      </c>
      <c r="AB253" s="3">
        <f>V251</f>
        <v>0</v>
      </c>
      <c r="AC253" s="17">
        <f>W251</f>
        <v>0</v>
      </c>
      <c r="AD253" s="20" t="e">
        <f>AB254-AB253</f>
        <v>#N/A</v>
      </c>
      <c r="AE253" s="16"/>
    </row>
    <row r="254" spans="1:33" ht="14.25" thickTop="1" thickBot="1">
      <c r="A254" s="47"/>
      <c r="B254" s="50"/>
      <c r="H254" s="18">
        <v>149538</v>
      </c>
      <c r="I254" s="51"/>
      <c r="J254" s="51"/>
      <c r="K254" s="30"/>
      <c r="L254" s="23" t="s">
        <v>20</v>
      </c>
      <c r="M254" s="3" t="e">
        <f>VLOOKUP($D251,$D266:$G280,3,FALSE)</f>
        <v>#N/A</v>
      </c>
      <c r="N254" s="17" t="e">
        <f>VLOOKUP($D251,$D266:$G280,4,FALSE)</f>
        <v>#N/A</v>
      </c>
      <c r="O254" s="26" t="e">
        <f>N254-N253</f>
        <v>#N/A</v>
      </c>
      <c r="P254" s="16"/>
      <c r="Q254" s="49"/>
      <c r="R254" s="50"/>
      <c r="W254" s="1"/>
      <c r="X254" s="16"/>
      <c r="Y254" s="2"/>
      <c r="Z254" s="30"/>
      <c r="AA254" s="23" t="s">
        <v>20</v>
      </c>
      <c r="AB254" s="3" t="e">
        <f>VLOOKUP($T251,$T266:$W280,3,FALSE)</f>
        <v>#N/A</v>
      </c>
      <c r="AC254" s="17" t="e">
        <f>VLOOKUP($T251,$T266:$W280,4,FALSE)</f>
        <v>#N/A</v>
      </c>
      <c r="AD254" s="26" t="e">
        <f>AC254-AC253</f>
        <v>#N/A</v>
      </c>
      <c r="AE254" s="16"/>
    </row>
    <row r="255" spans="1:33" ht="14.25" thickTop="1" thickBot="1">
      <c r="A255" s="47"/>
      <c r="B255" s="50"/>
      <c r="H255" s="18">
        <v>101933</v>
      </c>
      <c r="I255" s="51"/>
      <c r="J255" s="51"/>
      <c r="K255" s="19">
        <f>D252</f>
        <v>0</v>
      </c>
      <c r="L255" s="70">
        <f>E252</f>
        <v>0</v>
      </c>
      <c r="M255" s="3">
        <f>F252</f>
        <v>0</v>
      </c>
      <c r="N255" s="17">
        <f>G252</f>
        <v>0</v>
      </c>
      <c r="O255" s="20" t="e">
        <f>M256-M255</f>
        <v>#N/A</v>
      </c>
      <c r="P255" s="16"/>
      <c r="Q255" s="49"/>
      <c r="R255" s="50"/>
      <c r="W255" s="1"/>
      <c r="X255" s="16"/>
      <c r="Y255" s="6"/>
      <c r="Z255" s="19">
        <f>T252</f>
        <v>0</v>
      </c>
      <c r="AA255" s="70">
        <f>U252</f>
        <v>0</v>
      </c>
      <c r="AB255" s="3">
        <f>V252</f>
        <v>0</v>
      </c>
      <c r="AC255" s="17">
        <f>W252</f>
        <v>0</v>
      </c>
      <c r="AD255" s="20" t="e">
        <f>AB256-AB255</f>
        <v>#N/A</v>
      </c>
      <c r="AE255" s="16"/>
    </row>
    <row r="256" spans="1:33" ht="14.25" thickTop="1" thickBot="1">
      <c r="A256" s="47"/>
      <c r="B256" s="50"/>
      <c r="H256" s="18">
        <v>6850</v>
      </c>
      <c r="I256" s="51"/>
      <c r="J256" s="51"/>
      <c r="K256" s="30"/>
      <c r="L256" s="23" t="s">
        <v>20</v>
      </c>
      <c r="M256" s="3" t="e">
        <f>VLOOKUP($D252,$D266:$G280,3,FALSE)</f>
        <v>#N/A</v>
      </c>
      <c r="N256" s="17" t="e">
        <f>VLOOKUP($D252,$D266:$G280,4,FALSE)</f>
        <v>#N/A</v>
      </c>
      <c r="O256" s="26" t="e">
        <f>N256-N255</f>
        <v>#N/A</v>
      </c>
      <c r="P256" s="16"/>
      <c r="Q256" s="49"/>
      <c r="R256" s="50"/>
      <c r="W256" s="1"/>
      <c r="X256" s="16"/>
      <c r="Y256" s="2"/>
      <c r="Z256" s="30"/>
      <c r="AA256" s="23" t="s">
        <v>20</v>
      </c>
      <c r="AB256" s="3" t="e">
        <f>VLOOKUP($T252,$T266:$W280,3,FALSE)</f>
        <v>#N/A</v>
      </c>
      <c r="AC256" s="17" t="e">
        <f>VLOOKUP($T252,$T266:$W280,4,FALSE)</f>
        <v>#N/A</v>
      </c>
      <c r="AD256" s="26" t="e">
        <f>AC256-AC255</f>
        <v>#N/A</v>
      </c>
      <c r="AE256" s="16"/>
    </row>
    <row r="257" spans="1:31" ht="14.25" thickTop="1" thickBot="1">
      <c r="A257" s="47"/>
      <c r="B257" s="50"/>
      <c r="H257" s="18">
        <v>6165</v>
      </c>
      <c r="I257" s="51"/>
      <c r="J257" s="51"/>
      <c r="K257" s="29">
        <f>D253</f>
        <v>0</v>
      </c>
      <c r="L257" s="70">
        <f>E253</f>
        <v>0</v>
      </c>
      <c r="M257" s="3">
        <f>F253</f>
        <v>0</v>
      </c>
      <c r="N257" s="17">
        <f>G253</f>
        <v>0</v>
      </c>
      <c r="O257" s="20" t="e">
        <f>M258-M257</f>
        <v>#N/A</v>
      </c>
      <c r="P257" s="16"/>
      <c r="Q257" s="49"/>
      <c r="R257" s="50"/>
      <c r="W257" s="1"/>
      <c r="X257" s="16"/>
      <c r="Y257" s="6"/>
      <c r="Z257" s="29">
        <f>T253</f>
        <v>0</v>
      </c>
      <c r="AA257" s="70">
        <f>U253</f>
        <v>0</v>
      </c>
      <c r="AB257" s="3">
        <f>V253</f>
        <v>0</v>
      </c>
      <c r="AC257" s="17">
        <f>W253</f>
        <v>0</v>
      </c>
      <c r="AD257" s="20" t="e">
        <f>AB258-AB257</f>
        <v>#N/A</v>
      </c>
      <c r="AE257" s="16"/>
    </row>
    <row r="258" spans="1:31" ht="14.25" thickTop="1" thickBot="1">
      <c r="A258" s="47"/>
      <c r="B258" s="50"/>
      <c r="H258" s="18">
        <v>6010</v>
      </c>
      <c r="I258" s="51"/>
      <c r="J258" s="51"/>
      <c r="K258" s="30"/>
      <c r="L258" s="23" t="s">
        <v>20</v>
      </c>
      <c r="M258" s="3" t="e">
        <f>VLOOKUP($D253,$D266:$G280,3,FALSE)</f>
        <v>#N/A</v>
      </c>
      <c r="N258" s="17" t="e">
        <f>VLOOKUP($D253,$D266:$G280,4,FALSE)</f>
        <v>#N/A</v>
      </c>
      <c r="O258" s="26" t="e">
        <f>N258-N257</f>
        <v>#N/A</v>
      </c>
      <c r="P258" s="16"/>
      <c r="Q258" s="49"/>
      <c r="R258" s="50"/>
      <c r="W258" s="1"/>
      <c r="X258" s="16"/>
      <c r="Y258" s="2"/>
      <c r="Z258" s="30"/>
      <c r="AA258" s="23" t="s">
        <v>20</v>
      </c>
      <c r="AB258" s="3" t="e">
        <f>VLOOKUP($T253,$T266:$W280,3,FALSE)</f>
        <v>#N/A</v>
      </c>
      <c r="AC258" s="17" t="e">
        <f>VLOOKUP($T253,$T266:$W280,4,FALSE)</f>
        <v>#N/A</v>
      </c>
      <c r="AD258" s="26" t="e">
        <f>AC258-AC257</f>
        <v>#N/A</v>
      </c>
      <c r="AE258" s="16"/>
    </row>
    <row r="259" spans="1:31" ht="14.25" thickTop="1" thickBot="1">
      <c r="A259" s="47"/>
      <c r="B259" s="50"/>
      <c r="H259" s="2"/>
      <c r="I259" s="51"/>
      <c r="J259" s="51"/>
      <c r="K259" s="19">
        <f>D254</f>
        <v>0</v>
      </c>
      <c r="L259" s="70">
        <f>E254</f>
        <v>0</v>
      </c>
      <c r="M259" s="3">
        <f>F254</f>
        <v>0</v>
      </c>
      <c r="N259" s="17">
        <f>G254</f>
        <v>0</v>
      </c>
      <c r="O259" s="20" t="e">
        <f>M260-M259</f>
        <v>#N/A</v>
      </c>
      <c r="P259" s="16"/>
      <c r="Q259" s="49"/>
      <c r="R259" s="50"/>
      <c r="W259" s="1"/>
      <c r="X259" s="16"/>
      <c r="Y259" s="6"/>
      <c r="Z259" s="19">
        <f>T254</f>
        <v>0</v>
      </c>
      <c r="AA259" s="70">
        <f>U254</f>
        <v>0</v>
      </c>
      <c r="AB259" s="3">
        <f>V254</f>
        <v>0</v>
      </c>
      <c r="AC259" s="17">
        <f>W254</f>
        <v>0</v>
      </c>
      <c r="AD259" s="20" t="e">
        <f>AB260-AB259</f>
        <v>#N/A</v>
      </c>
      <c r="AE259" s="16"/>
    </row>
    <row r="260" spans="1:31" ht="14.25" thickTop="1" thickBot="1">
      <c r="A260" s="47"/>
      <c r="B260" s="50"/>
      <c r="H260" s="2"/>
      <c r="I260" s="51"/>
      <c r="J260" s="51"/>
      <c r="K260" s="30"/>
      <c r="L260" s="23" t="s">
        <v>20</v>
      </c>
      <c r="M260" s="3" t="e">
        <f>VLOOKUP($D254,$D266:$G280,3,FALSE)</f>
        <v>#N/A</v>
      </c>
      <c r="N260" s="17" t="e">
        <f>VLOOKUP($D254,$D266:$G280,4,FALSE)</f>
        <v>#N/A</v>
      </c>
      <c r="O260" s="26" t="e">
        <f>N260-N259</f>
        <v>#N/A</v>
      </c>
      <c r="P260" s="16"/>
      <c r="Q260" s="49"/>
      <c r="R260" s="50"/>
      <c r="W260" s="1"/>
      <c r="X260" s="16"/>
      <c r="Y260" s="2"/>
      <c r="Z260" s="30"/>
      <c r="AA260" s="23" t="s">
        <v>20</v>
      </c>
      <c r="AB260" s="3" t="e">
        <f>VLOOKUP($T254,$T266:$W280,3,FALSE)</f>
        <v>#N/A</v>
      </c>
      <c r="AC260" s="17" t="e">
        <f>VLOOKUP($T254,$T266:$W280,4,FALSE)</f>
        <v>#N/A</v>
      </c>
      <c r="AD260" s="26" t="e">
        <f>AC260-AC259</f>
        <v>#N/A</v>
      </c>
      <c r="AE260" s="16"/>
    </row>
    <row r="261" spans="1:31" ht="14.25" thickTop="1" thickBot="1">
      <c r="A261" s="47"/>
      <c r="B261" s="50"/>
      <c r="H261" s="2"/>
      <c r="I261" s="51"/>
      <c r="J261" s="51"/>
      <c r="K261" s="19">
        <f>D255</f>
        <v>0</v>
      </c>
      <c r="L261" s="70">
        <f>E255</f>
        <v>0</v>
      </c>
      <c r="M261" s="3">
        <f>F255</f>
        <v>0</v>
      </c>
      <c r="N261" s="17">
        <f>G255</f>
        <v>0</v>
      </c>
      <c r="O261" s="20" t="e">
        <f>M262-M261</f>
        <v>#N/A</v>
      </c>
      <c r="P261" s="16"/>
      <c r="Q261" s="49"/>
      <c r="R261" s="50"/>
      <c r="W261" s="1"/>
      <c r="X261" s="16"/>
      <c r="Y261" s="6"/>
      <c r="Z261" s="19">
        <f>T255</f>
        <v>0</v>
      </c>
      <c r="AA261" s="70">
        <f>U255</f>
        <v>0</v>
      </c>
      <c r="AB261" s="3">
        <f>V255</f>
        <v>0</v>
      </c>
      <c r="AC261" s="17">
        <f>W255</f>
        <v>0</v>
      </c>
      <c r="AD261" s="20" t="e">
        <f>AB262-AB261</f>
        <v>#N/A</v>
      </c>
      <c r="AE261" s="16"/>
    </row>
    <row r="262" spans="1:31" ht="14.25" thickTop="1" thickBot="1">
      <c r="A262" s="47"/>
      <c r="B262" s="50"/>
      <c r="H262" s="2"/>
      <c r="I262" s="51"/>
      <c r="J262" s="51"/>
      <c r="K262" s="30"/>
      <c r="L262" s="23" t="s">
        <v>20</v>
      </c>
      <c r="M262" s="3" t="e">
        <f>VLOOKUP($D255,$D266:$G280,3,FALSE)</f>
        <v>#N/A</v>
      </c>
      <c r="N262" s="17" t="e">
        <f>VLOOKUP($D255,$D266:$G280,4,FALSE)</f>
        <v>#N/A</v>
      </c>
      <c r="O262" s="26" t="e">
        <f>N262-N261</f>
        <v>#N/A</v>
      </c>
      <c r="P262" s="16"/>
      <c r="Q262" s="49"/>
      <c r="R262" s="50"/>
      <c r="W262" s="1"/>
      <c r="X262" s="16"/>
      <c r="Y262" s="2"/>
      <c r="Z262" s="30"/>
      <c r="AA262" s="23" t="s">
        <v>20</v>
      </c>
      <c r="AB262" s="3" t="e">
        <f>VLOOKUP($T255,$T266:$W280,3,FALSE)</f>
        <v>#N/A</v>
      </c>
      <c r="AC262" s="17" t="e">
        <f>VLOOKUP($T255,$T266:$W280,4,FALSE)</f>
        <v>#N/A</v>
      </c>
      <c r="AD262" s="26" t="e">
        <f>AC262-AC261</f>
        <v>#N/A</v>
      </c>
      <c r="AE262" s="16"/>
    </row>
    <row r="263" spans="1:31" ht="14.25" thickTop="1" thickBot="1">
      <c r="A263" s="47"/>
      <c r="B263" s="50"/>
      <c r="H263" s="2"/>
      <c r="I263" s="51"/>
      <c r="J263" s="51"/>
      <c r="K263" s="19">
        <f>D256</f>
        <v>0</v>
      </c>
      <c r="L263" s="70">
        <f>E256</f>
        <v>0</v>
      </c>
      <c r="M263" s="21">
        <f>F256</f>
        <v>0</v>
      </c>
      <c r="N263" s="22">
        <f>G256</f>
        <v>0</v>
      </c>
      <c r="O263" s="20" t="e">
        <f>M264-M263</f>
        <v>#N/A</v>
      </c>
      <c r="P263" s="16"/>
      <c r="Q263" s="49"/>
      <c r="R263" s="50"/>
      <c r="W263" s="1"/>
      <c r="X263" s="16"/>
      <c r="Y263" s="6"/>
      <c r="Z263" s="19">
        <f>T256</f>
        <v>0</v>
      </c>
      <c r="AA263" s="70">
        <f>U256</f>
        <v>0</v>
      </c>
      <c r="AB263" s="21">
        <f>V256</f>
        <v>0</v>
      </c>
      <c r="AC263" s="22">
        <f>W256</f>
        <v>0</v>
      </c>
      <c r="AD263" s="20" t="e">
        <f>AB264-AB263</f>
        <v>#N/A</v>
      </c>
      <c r="AE263" s="16"/>
    </row>
    <row r="264" spans="1:31" ht="14.25" thickTop="1" thickBot="1">
      <c r="A264" s="47"/>
      <c r="B264" s="48"/>
      <c r="C264" s="32"/>
      <c r="D264" s="32" t="s">
        <v>46</v>
      </c>
      <c r="E264" s="42"/>
      <c r="F264" s="32" t="s">
        <v>47</v>
      </c>
      <c r="G264" s="33"/>
      <c r="H264" s="2"/>
      <c r="I264" s="51"/>
      <c r="J264" s="51"/>
      <c r="K264" s="30"/>
      <c r="L264" s="23" t="s">
        <v>20</v>
      </c>
      <c r="M264" s="3" t="e">
        <f>VLOOKUP($D256,$D266:$G280,3,FALSE)</f>
        <v>#N/A</v>
      </c>
      <c r="N264" s="17" t="e">
        <f>VLOOKUP($D256,$D266:$G280,4,FALSE)</f>
        <v>#N/A</v>
      </c>
      <c r="O264" s="26" t="e">
        <f>N264-N263</f>
        <v>#N/A</v>
      </c>
      <c r="P264" s="16"/>
      <c r="Q264" s="49"/>
      <c r="R264" s="48"/>
      <c r="S264" s="32"/>
      <c r="T264" s="32" t="s">
        <v>46</v>
      </c>
      <c r="U264" s="42"/>
      <c r="V264" s="32" t="s">
        <v>47</v>
      </c>
      <c r="W264" s="33"/>
      <c r="X264" s="16"/>
      <c r="Y264" s="2"/>
      <c r="Z264" s="30"/>
      <c r="AA264" s="23" t="s">
        <v>20</v>
      </c>
      <c r="AB264" s="3" t="e">
        <f>VLOOKUP($T256,$T266:$W280,3,FALSE)</f>
        <v>#N/A</v>
      </c>
      <c r="AC264" s="17" t="e">
        <f>VLOOKUP($T256,$T266:$W280,4,FALSE)</f>
        <v>#N/A</v>
      </c>
      <c r="AD264" s="26" t="e">
        <f>AC264-AC263</f>
        <v>#N/A</v>
      </c>
      <c r="AE264" s="16"/>
    </row>
    <row r="265" spans="1:31" ht="14.25" thickTop="1" thickBot="1">
      <c r="A265" s="47"/>
      <c r="B265" s="51"/>
      <c r="C265" s="8" t="s">
        <v>36</v>
      </c>
      <c r="D265" s="8" t="s">
        <v>18</v>
      </c>
      <c r="E265" s="8" t="s">
        <v>14</v>
      </c>
      <c r="F265" s="8" t="s">
        <v>15</v>
      </c>
      <c r="G265" s="8" t="s">
        <v>16</v>
      </c>
      <c r="H265" s="2"/>
      <c r="I265" s="51"/>
      <c r="J265" s="51"/>
      <c r="K265" s="29">
        <f>D257</f>
        <v>0</v>
      </c>
      <c r="L265" s="70">
        <f>E257</f>
        <v>0</v>
      </c>
      <c r="M265" s="3">
        <f>F257</f>
        <v>0</v>
      </c>
      <c r="N265" s="17">
        <f>G257</f>
        <v>0</v>
      </c>
      <c r="O265" s="20" t="e">
        <f>M266-M265</f>
        <v>#N/A</v>
      </c>
      <c r="P265" s="16"/>
      <c r="Q265" s="49"/>
      <c r="R265" s="51"/>
      <c r="S265" s="8" t="s">
        <v>36</v>
      </c>
      <c r="T265" s="8" t="s">
        <v>18</v>
      </c>
      <c r="U265" s="8" t="s">
        <v>14</v>
      </c>
      <c r="V265" s="8" t="s">
        <v>15</v>
      </c>
      <c r="W265" s="8" t="s">
        <v>16</v>
      </c>
      <c r="X265" s="16"/>
      <c r="Y265" s="6"/>
      <c r="Z265" s="29">
        <f>T257</f>
        <v>0</v>
      </c>
      <c r="AA265" s="70">
        <f>U257</f>
        <v>0</v>
      </c>
      <c r="AB265" s="3">
        <f>V257</f>
        <v>0</v>
      </c>
      <c r="AC265" s="17">
        <f>W257</f>
        <v>0</v>
      </c>
      <c r="AD265" s="20" t="e">
        <f>AB266-AB265</f>
        <v>#N/A</v>
      </c>
      <c r="AE265" s="16"/>
    </row>
    <row r="266" spans="1:31" ht="14.25" thickTop="1" thickBot="1">
      <c r="A266" s="47"/>
      <c r="B266" s="50"/>
      <c r="C266" s="12"/>
      <c r="D266" s="12"/>
      <c r="E266" s="12"/>
      <c r="F266" s="12"/>
      <c r="G266" s="13"/>
      <c r="H266" s="2"/>
      <c r="I266" s="51"/>
      <c r="J266" s="51"/>
      <c r="K266" s="30"/>
      <c r="L266" s="23" t="s">
        <v>20</v>
      </c>
      <c r="M266" s="3" t="e">
        <f>VLOOKUP($D257,$D266:$G280,3,FALSE)</f>
        <v>#N/A</v>
      </c>
      <c r="N266" s="17" t="e">
        <f>VLOOKUP($D257,$D266:$G280,4,FALSE)</f>
        <v>#N/A</v>
      </c>
      <c r="O266" s="26" t="e">
        <f>N266-N265</f>
        <v>#N/A</v>
      </c>
      <c r="P266" s="16"/>
      <c r="Q266" s="49"/>
      <c r="R266" s="50"/>
      <c r="S266" s="12"/>
      <c r="T266" s="12"/>
      <c r="U266" s="12"/>
      <c r="V266" s="12"/>
      <c r="W266" s="13"/>
      <c r="X266" s="16"/>
      <c r="Y266" s="2"/>
      <c r="Z266" s="30"/>
      <c r="AA266" s="23" t="s">
        <v>20</v>
      </c>
      <c r="AB266" s="3" t="e">
        <f>VLOOKUP($T257,$T266:$W280,3,FALSE)</f>
        <v>#N/A</v>
      </c>
      <c r="AC266" s="17" t="e">
        <f>VLOOKUP($T257,$T266:$W280,4,FALSE)</f>
        <v>#N/A</v>
      </c>
      <c r="AD266" s="26" t="e">
        <f>AC266-AC265</f>
        <v>#N/A</v>
      </c>
      <c r="AE266" s="16"/>
    </row>
    <row r="267" spans="1:31" ht="14.25" thickTop="1" thickBot="1">
      <c r="A267" s="47"/>
      <c r="B267" s="50"/>
      <c r="H267" s="2"/>
      <c r="I267" s="51"/>
      <c r="J267" s="51"/>
      <c r="K267" s="19">
        <f>D258</f>
        <v>0</v>
      </c>
      <c r="L267" s="70">
        <f>E258</f>
        <v>0</v>
      </c>
      <c r="M267" s="3">
        <f>F258</f>
        <v>0</v>
      </c>
      <c r="N267" s="17">
        <f>G258</f>
        <v>0</v>
      </c>
      <c r="O267" s="20" t="e">
        <f>M268-M267</f>
        <v>#N/A</v>
      </c>
      <c r="P267" s="16"/>
      <c r="Q267" s="49"/>
      <c r="R267" s="50"/>
      <c r="W267" s="1"/>
      <c r="X267" s="16"/>
      <c r="Y267" s="6"/>
      <c r="Z267" s="19">
        <f>T258</f>
        <v>0</v>
      </c>
      <c r="AA267" s="70">
        <f>U258</f>
        <v>0</v>
      </c>
      <c r="AB267" s="3">
        <f>V258</f>
        <v>0</v>
      </c>
      <c r="AC267" s="17">
        <f>W258</f>
        <v>0</v>
      </c>
      <c r="AD267" s="20" t="e">
        <f>AB268-AB267</f>
        <v>#N/A</v>
      </c>
      <c r="AE267" s="16"/>
    </row>
    <row r="268" spans="1:31" ht="14.25" thickTop="1" thickBot="1">
      <c r="A268" s="47"/>
      <c r="B268" s="50"/>
      <c r="H268" s="2"/>
      <c r="I268" s="51"/>
      <c r="J268" s="51"/>
      <c r="K268" s="30"/>
      <c r="L268" s="23" t="s">
        <v>20</v>
      </c>
      <c r="M268" s="3" t="e">
        <f>VLOOKUP($D258,$D266:$G280,3,FALSE)</f>
        <v>#N/A</v>
      </c>
      <c r="N268" s="17" t="e">
        <f>VLOOKUP($D258,$D266:$G280,4,FALSE)</f>
        <v>#N/A</v>
      </c>
      <c r="O268" s="26" t="e">
        <f>N268-N267</f>
        <v>#N/A</v>
      </c>
      <c r="P268" s="16"/>
      <c r="Q268" s="49"/>
      <c r="R268" s="50"/>
      <c r="W268" s="1"/>
      <c r="X268" s="16"/>
      <c r="Y268" s="2"/>
      <c r="Z268" s="30"/>
      <c r="AA268" s="23" t="s">
        <v>20</v>
      </c>
      <c r="AB268" s="3" t="e">
        <f>VLOOKUP($T258,$T266:$W280,3,FALSE)</f>
        <v>#N/A</v>
      </c>
      <c r="AC268" s="17" t="e">
        <f>VLOOKUP($T258,$T266:$W280,4,FALSE)</f>
        <v>#N/A</v>
      </c>
      <c r="AD268" s="26" t="e">
        <f>AC268-AC267</f>
        <v>#N/A</v>
      </c>
      <c r="AE268" s="16"/>
    </row>
    <row r="269" spans="1:31" ht="14.25" thickTop="1" thickBot="1">
      <c r="A269" s="47"/>
      <c r="B269" s="50"/>
      <c r="H269" s="2"/>
      <c r="I269" s="51"/>
      <c r="J269" s="51"/>
      <c r="K269" s="19">
        <f>D259</f>
        <v>0</v>
      </c>
      <c r="L269" s="70">
        <f>E259</f>
        <v>0</v>
      </c>
      <c r="M269" s="3">
        <f>F259</f>
        <v>0</v>
      </c>
      <c r="N269" s="17">
        <f>G259</f>
        <v>0</v>
      </c>
      <c r="O269" s="20" t="e">
        <f>M270-M269</f>
        <v>#N/A</v>
      </c>
      <c r="P269" s="16"/>
      <c r="Q269" s="49"/>
      <c r="R269" s="50"/>
      <c r="W269" s="1"/>
      <c r="X269" s="16"/>
      <c r="Y269" s="6"/>
      <c r="Z269" s="19">
        <f>T259</f>
        <v>0</v>
      </c>
      <c r="AA269" s="70">
        <f>U259</f>
        <v>0</v>
      </c>
      <c r="AB269" s="3">
        <f>V259</f>
        <v>0</v>
      </c>
      <c r="AC269" s="17">
        <f>W259</f>
        <v>0</v>
      </c>
      <c r="AD269" s="20" t="e">
        <f>AB270-AB269</f>
        <v>#N/A</v>
      </c>
      <c r="AE269" s="16"/>
    </row>
    <row r="270" spans="1:31" ht="14.25" thickTop="1" thickBot="1">
      <c r="A270" s="47"/>
      <c r="B270" s="50"/>
      <c r="H270" s="2"/>
      <c r="I270" s="51"/>
      <c r="J270" s="51"/>
      <c r="K270" s="30"/>
      <c r="L270" s="23" t="s">
        <v>20</v>
      </c>
      <c r="M270" s="3" t="e">
        <f>VLOOKUP($D259,$D266:$G280,3,FALSE)</f>
        <v>#N/A</v>
      </c>
      <c r="N270" s="17" t="e">
        <f>VLOOKUP($D259,$D266:$G280,4,FALSE)</f>
        <v>#N/A</v>
      </c>
      <c r="O270" s="26" t="e">
        <f>N270-N269</f>
        <v>#N/A</v>
      </c>
      <c r="P270" s="16"/>
      <c r="Q270" s="49"/>
      <c r="R270" s="50"/>
      <c r="W270" s="1"/>
      <c r="X270" s="16"/>
      <c r="Y270" s="2"/>
      <c r="Z270" s="30"/>
      <c r="AA270" s="23" t="s">
        <v>20</v>
      </c>
      <c r="AB270" s="3" t="e">
        <f>VLOOKUP($T259,$T266:$W280,3,FALSE)</f>
        <v>#N/A</v>
      </c>
      <c r="AC270" s="17" t="e">
        <f>VLOOKUP($T259,$T266:$W280,4,FALSE)</f>
        <v>#N/A</v>
      </c>
      <c r="AD270" s="26" t="e">
        <f>AC270-AC269</f>
        <v>#N/A</v>
      </c>
      <c r="AE270" s="16"/>
    </row>
    <row r="271" spans="1:31" ht="14.25" thickTop="1" thickBot="1">
      <c r="A271" s="47"/>
      <c r="B271" s="50"/>
      <c r="H271" s="2"/>
      <c r="I271" s="51"/>
      <c r="J271" s="51"/>
      <c r="K271" s="19">
        <f>D260</f>
        <v>0</v>
      </c>
      <c r="L271" s="70">
        <f>E260</f>
        <v>0</v>
      </c>
      <c r="M271" s="3">
        <f>F260</f>
        <v>0</v>
      </c>
      <c r="N271" s="17">
        <f>G260</f>
        <v>0</v>
      </c>
      <c r="O271" s="20" t="e">
        <f>M272-M271</f>
        <v>#N/A</v>
      </c>
      <c r="P271" s="16"/>
      <c r="Q271" s="49"/>
      <c r="R271" s="50"/>
      <c r="W271" s="1"/>
      <c r="X271" s="16"/>
      <c r="Y271" s="6"/>
      <c r="Z271" s="19">
        <f>T260</f>
        <v>0</v>
      </c>
      <c r="AA271" s="70">
        <f>U260</f>
        <v>0</v>
      </c>
      <c r="AB271" s="3">
        <f>V260</f>
        <v>0</v>
      </c>
      <c r="AC271" s="17">
        <f>W260</f>
        <v>0</v>
      </c>
      <c r="AD271" s="20" t="e">
        <f>AB272-AB271</f>
        <v>#N/A</v>
      </c>
      <c r="AE271" s="16"/>
    </row>
    <row r="272" spans="1:31" ht="14.25" thickTop="1" thickBot="1">
      <c r="A272" s="47"/>
      <c r="B272" s="50"/>
      <c r="H272" s="2"/>
      <c r="I272" s="51"/>
      <c r="J272" s="51"/>
      <c r="K272" s="30"/>
      <c r="L272" s="23" t="s">
        <v>20</v>
      </c>
      <c r="M272" s="3" t="e">
        <f>VLOOKUP($D260,$D266:$G280,3,FALSE)</f>
        <v>#N/A</v>
      </c>
      <c r="N272" s="17" t="e">
        <f>VLOOKUP($D260,$D266:$G280,4,FALSE)</f>
        <v>#N/A</v>
      </c>
      <c r="O272" s="26" t="e">
        <f>N272-N271</f>
        <v>#N/A</v>
      </c>
      <c r="P272" s="16"/>
      <c r="Q272" s="49"/>
      <c r="R272" s="50"/>
      <c r="W272" s="1"/>
      <c r="X272" s="16"/>
      <c r="Y272" s="2"/>
      <c r="Z272" s="30"/>
      <c r="AA272" s="23" t="s">
        <v>20</v>
      </c>
      <c r="AB272" s="3" t="e">
        <f>VLOOKUP($T260,$T266:$W280,3,FALSE)</f>
        <v>#N/A</v>
      </c>
      <c r="AC272" s="17" t="e">
        <f>VLOOKUP($T260,$T266:$W280,4,FALSE)</f>
        <v>#N/A</v>
      </c>
      <c r="AD272" s="26" t="e">
        <f>AC272-AC271</f>
        <v>#N/A</v>
      </c>
      <c r="AE272" s="16"/>
    </row>
    <row r="273" spans="1:33" ht="14.25" thickTop="1" thickBot="1">
      <c r="A273" s="47"/>
      <c r="B273" s="50"/>
      <c r="H273" s="2"/>
      <c r="I273" s="51"/>
      <c r="J273" s="51"/>
      <c r="K273" s="29">
        <f>D261</f>
        <v>0</v>
      </c>
      <c r="L273" s="70">
        <f>E261</f>
        <v>0</v>
      </c>
      <c r="M273" s="3">
        <f>F261</f>
        <v>0</v>
      </c>
      <c r="N273" s="17">
        <f>G261</f>
        <v>0</v>
      </c>
      <c r="O273" s="20" t="e">
        <f>M274-M273</f>
        <v>#N/A</v>
      </c>
      <c r="P273" s="16"/>
      <c r="Q273" s="49"/>
      <c r="R273" s="50"/>
      <c r="W273" s="1"/>
      <c r="X273" s="16"/>
      <c r="Y273" s="6"/>
      <c r="Z273" s="29">
        <f>T261</f>
        <v>0</v>
      </c>
      <c r="AA273" s="70">
        <f>U261</f>
        <v>0</v>
      </c>
      <c r="AB273" s="3">
        <f>V261</f>
        <v>0</v>
      </c>
      <c r="AC273" s="17">
        <f>W261</f>
        <v>0</v>
      </c>
      <c r="AD273" s="20" t="e">
        <f>AB274-AB273</f>
        <v>#N/A</v>
      </c>
      <c r="AE273" s="16"/>
    </row>
    <row r="274" spans="1:33" ht="14.25" thickTop="1" thickBot="1">
      <c r="A274" s="47"/>
      <c r="B274" s="50"/>
      <c r="H274" s="2"/>
      <c r="I274" s="51"/>
      <c r="J274" s="51"/>
      <c r="K274" s="30"/>
      <c r="L274" s="23" t="s">
        <v>20</v>
      </c>
      <c r="M274" s="3" t="e">
        <f>VLOOKUP($D261,$D266:$G280,3,FALSE)</f>
        <v>#N/A</v>
      </c>
      <c r="N274" s="17" t="e">
        <f>VLOOKUP($D261,$D266:$G280,4,FALSE)</f>
        <v>#N/A</v>
      </c>
      <c r="O274" s="26" t="e">
        <f>N274-N273</f>
        <v>#N/A</v>
      </c>
      <c r="P274" s="16"/>
      <c r="Q274" s="49"/>
      <c r="R274" s="50"/>
      <c r="W274" s="1"/>
      <c r="X274" s="16"/>
      <c r="Y274" s="2"/>
      <c r="Z274" s="30"/>
      <c r="AA274" s="23" t="s">
        <v>20</v>
      </c>
      <c r="AB274" s="3" t="e">
        <f>VLOOKUP($T261,$T266:$W280,3,FALSE)</f>
        <v>#N/A</v>
      </c>
      <c r="AC274" s="17" t="e">
        <f>VLOOKUP($T261,$T266:$W280,4,FALSE)</f>
        <v>#N/A</v>
      </c>
      <c r="AD274" s="26" t="e">
        <f>AC274-AC273</f>
        <v>#N/A</v>
      </c>
      <c r="AE274" s="16"/>
    </row>
    <row r="275" spans="1:33" ht="14.25" thickTop="1" thickBot="1">
      <c r="A275" s="47"/>
      <c r="B275" s="50"/>
      <c r="H275" s="2"/>
      <c r="I275" s="51"/>
      <c r="J275" s="51"/>
      <c r="K275" s="19">
        <f>D262</f>
        <v>0</v>
      </c>
      <c r="L275" s="70">
        <f>E262</f>
        <v>0</v>
      </c>
      <c r="M275" s="3">
        <f>F262</f>
        <v>0</v>
      </c>
      <c r="N275" s="17">
        <f>G262</f>
        <v>0</v>
      </c>
      <c r="O275" s="20" t="e">
        <f>M276-M275</f>
        <v>#N/A</v>
      </c>
      <c r="P275" s="16"/>
      <c r="Q275" s="49"/>
      <c r="R275" s="50"/>
      <c r="W275" s="1"/>
      <c r="X275" s="16"/>
      <c r="Y275" s="6"/>
      <c r="Z275" s="19">
        <f>T262</f>
        <v>0</v>
      </c>
      <c r="AA275" s="70">
        <f>U262</f>
        <v>0</v>
      </c>
      <c r="AB275" s="3">
        <f>V262</f>
        <v>0</v>
      </c>
      <c r="AC275" s="17">
        <f>W262</f>
        <v>0</v>
      </c>
      <c r="AD275" s="20" t="e">
        <f>AB276-AB275</f>
        <v>#N/A</v>
      </c>
      <c r="AE275" s="16"/>
    </row>
    <row r="276" spans="1:33" ht="14.25" thickTop="1" thickBot="1">
      <c r="A276" s="47"/>
      <c r="B276" s="50"/>
      <c r="H276" s="2"/>
      <c r="I276" s="51"/>
      <c r="J276" s="51"/>
      <c r="K276" s="30"/>
      <c r="L276" s="23" t="s">
        <v>20</v>
      </c>
      <c r="M276" s="3" t="e">
        <f>VLOOKUP($D262,$D266:$G280,3,FALSE)</f>
        <v>#N/A</v>
      </c>
      <c r="N276" s="17" t="e">
        <f>VLOOKUP($D262,$D266:$G280,4,FALSE)</f>
        <v>#N/A</v>
      </c>
      <c r="O276" s="26" t="e">
        <f>N276-N275</f>
        <v>#N/A</v>
      </c>
      <c r="P276" s="16"/>
      <c r="Q276" s="49"/>
      <c r="R276" s="50"/>
      <c r="W276" s="1"/>
      <c r="X276" s="16"/>
      <c r="Y276" s="2"/>
      <c r="Z276" s="30"/>
      <c r="AA276" s="23" t="s">
        <v>20</v>
      </c>
      <c r="AB276" s="3" t="e">
        <f>VLOOKUP($T262,$T266:$W280,3,FALSE)</f>
        <v>#N/A</v>
      </c>
      <c r="AC276" s="17" t="e">
        <f>VLOOKUP($T262,$T266:$W280,4,FALSE)</f>
        <v>#N/A</v>
      </c>
      <c r="AD276" s="26" t="e">
        <f>AC276-AC275</f>
        <v>#N/A</v>
      </c>
      <c r="AE276" s="16"/>
    </row>
    <row r="277" spans="1:33" ht="14.25" thickTop="1" thickBot="1">
      <c r="A277" s="47"/>
      <c r="B277" s="50"/>
      <c r="H277" s="2"/>
      <c r="I277" s="51"/>
      <c r="J277" s="51"/>
      <c r="K277" s="19">
        <f>D263</f>
        <v>0</v>
      </c>
      <c r="L277" s="70">
        <f>E263</f>
        <v>0</v>
      </c>
      <c r="M277" s="3">
        <f>F263</f>
        <v>0</v>
      </c>
      <c r="N277" s="17">
        <f>G263</f>
        <v>0</v>
      </c>
      <c r="O277" s="20" t="e">
        <f>M278-M277</f>
        <v>#N/A</v>
      </c>
      <c r="P277" s="16"/>
      <c r="Q277" s="49"/>
      <c r="R277" s="50"/>
      <c r="W277" s="1"/>
      <c r="X277" s="16"/>
      <c r="Y277" s="6"/>
      <c r="Z277" s="19">
        <f>T263</f>
        <v>0</v>
      </c>
      <c r="AA277" s="70">
        <f>U263</f>
        <v>0</v>
      </c>
      <c r="AB277" s="3">
        <f>V263</f>
        <v>0</v>
      </c>
      <c r="AC277" s="17">
        <f>W263</f>
        <v>0</v>
      </c>
      <c r="AD277" s="20" t="e">
        <f>AB278-AB277</f>
        <v>#N/A</v>
      </c>
      <c r="AE277" s="16"/>
    </row>
    <row r="278" spans="1:33" ht="14.25" thickTop="1" thickBot="1">
      <c r="A278" s="47"/>
      <c r="B278" s="50"/>
      <c r="H278" s="2"/>
      <c r="I278" s="51"/>
      <c r="J278" s="51"/>
      <c r="K278" s="30"/>
      <c r="L278" s="24" t="s">
        <v>20</v>
      </c>
      <c r="M278" s="3" t="e">
        <f>VLOOKUP($D263,$D266:$G280,3,FALSE)</f>
        <v>#N/A</v>
      </c>
      <c r="N278" s="17" t="e">
        <f>VLOOKUP($D263,$D266:$G280,4,FALSE)</f>
        <v>#N/A</v>
      </c>
      <c r="O278" s="25" t="e">
        <f>N278-N277</f>
        <v>#N/A</v>
      </c>
      <c r="P278" s="38"/>
      <c r="Q278" s="49"/>
      <c r="R278" s="50"/>
      <c r="W278" s="1"/>
      <c r="X278" s="38"/>
      <c r="Y278" s="2"/>
      <c r="Z278" s="30"/>
      <c r="AA278" s="24" t="s">
        <v>20</v>
      </c>
      <c r="AB278" s="3" t="e">
        <f>VLOOKUP($T263,$T266:$W280,3,FALSE)</f>
        <v>#N/A</v>
      </c>
      <c r="AC278" s="17" t="e">
        <f>VLOOKUP($T263,$T266:$W280,4,FALSE)</f>
        <v>#N/A</v>
      </c>
      <c r="AD278" s="25" t="e">
        <f>AC278-AC277</f>
        <v>#N/A</v>
      </c>
      <c r="AE278" s="38"/>
    </row>
    <row r="279" spans="1:33" ht="13.5" thickTop="1">
      <c r="A279" s="47"/>
      <c r="B279" s="50"/>
      <c r="H279" s="2"/>
      <c r="I279" s="48"/>
      <c r="J279" s="2"/>
      <c r="K279" s="31"/>
      <c r="L279" s="6"/>
      <c r="M279" s="11"/>
      <c r="N279" s="11"/>
      <c r="O279" s="6"/>
      <c r="P279" s="38"/>
      <c r="Q279" s="49"/>
      <c r="R279" s="50"/>
      <c r="W279" s="1"/>
      <c r="X279" s="38"/>
      <c r="Y279" s="2"/>
      <c r="Z279" s="31"/>
      <c r="AA279" s="6"/>
      <c r="AB279" s="11"/>
      <c r="AC279" s="11"/>
      <c r="AD279" s="6"/>
      <c r="AE279" s="38"/>
    </row>
    <row r="280" spans="1:33" ht="13.5" thickBot="1">
      <c r="A280" s="47"/>
      <c r="B280" s="50"/>
      <c r="H280" s="2"/>
      <c r="I280" s="48"/>
      <c r="J280" s="2"/>
      <c r="K280" s="27"/>
      <c r="L280" s="2"/>
      <c r="M280" s="2"/>
      <c r="N280" s="2"/>
      <c r="O280" s="2"/>
      <c r="P280" s="38"/>
      <c r="Q280" s="49"/>
      <c r="R280" s="50"/>
      <c r="W280" s="1"/>
      <c r="X280" s="38"/>
      <c r="Y280" s="2"/>
      <c r="Z280" s="27"/>
      <c r="AA280" s="2"/>
      <c r="AB280" s="2"/>
      <c r="AC280" s="2"/>
      <c r="AD280" s="2"/>
      <c r="AE280" s="38"/>
    </row>
    <row r="281" spans="1:33" ht="13.5" thickTop="1">
      <c r="A281" s="47"/>
      <c r="B281" s="48"/>
      <c r="C281" s="32"/>
      <c r="D281" s="32" t="s">
        <v>46</v>
      </c>
      <c r="E281" s="42"/>
      <c r="F281" s="32" t="s">
        <v>47</v>
      </c>
      <c r="G281" s="33"/>
      <c r="H281" s="2"/>
      <c r="I281" s="48"/>
      <c r="J281" s="2"/>
      <c r="K281" s="27"/>
      <c r="L281" s="2"/>
      <c r="M281" s="2"/>
      <c r="N281" s="2"/>
      <c r="O281" s="2"/>
      <c r="P281" s="38"/>
      <c r="Q281" s="49"/>
      <c r="R281" s="48"/>
      <c r="S281" s="32"/>
      <c r="T281" s="32" t="s">
        <v>46</v>
      </c>
      <c r="U281" s="42"/>
      <c r="V281" s="32" t="s">
        <v>47</v>
      </c>
      <c r="W281" s="33"/>
      <c r="X281" s="38"/>
      <c r="Y281" s="2"/>
      <c r="Z281" s="27"/>
      <c r="AA281" s="2"/>
      <c r="AB281" s="2"/>
      <c r="AC281" s="2"/>
      <c r="AD281" s="2"/>
      <c r="AE281" s="38"/>
    </row>
    <row r="282" spans="1:33">
      <c r="A282" s="47"/>
      <c r="B282" s="48"/>
      <c r="C282" s="52" t="s">
        <v>41</v>
      </c>
      <c r="D282" s="52"/>
      <c r="E282" s="53"/>
      <c r="F282" s="53"/>
      <c r="G282" s="54"/>
      <c r="H282" s="53"/>
      <c r="I282" s="53"/>
      <c r="J282" s="53"/>
      <c r="K282" s="55"/>
      <c r="L282" s="53"/>
      <c r="M282" s="53"/>
      <c r="N282" s="53"/>
      <c r="O282" s="53"/>
      <c r="P282" s="4"/>
      <c r="Q282" s="49"/>
      <c r="R282" s="48"/>
      <c r="S282" s="56" t="s">
        <v>41</v>
      </c>
      <c r="T282" s="56"/>
      <c r="U282" s="57"/>
      <c r="V282" s="57"/>
      <c r="W282" s="58"/>
      <c r="X282" s="57"/>
      <c r="Y282" s="57"/>
      <c r="Z282" s="59"/>
      <c r="AA282" s="57"/>
      <c r="AB282" s="57"/>
      <c r="AC282" s="57"/>
      <c r="AD282" s="57"/>
      <c r="AE282" s="4"/>
    </row>
    <row r="283" spans="1:33" ht="13.5" thickBot="1">
      <c r="A283" s="47"/>
      <c r="B283" s="48"/>
      <c r="C283" s="8" t="s">
        <v>36</v>
      </c>
      <c r="D283" s="8" t="s">
        <v>18</v>
      </c>
      <c r="E283" s="8" t="s">
        <v>14</v>
      </c>
      <c r="F283" s="8" t="s">
        <v>15</v>
      </c>
      <c r="G283" s="8" t="s">
        <v>16</v>
      </c>
      <c r="H283" s="2"/>
      <c r="I283" s="2"/>
      <c r="J283" s="2"/>
      <c r="K283" s="28" t="s">
        <v>17</v>
      </c>
      <c r="L283" s="9" t="s">
        <v>14</v>
      </c>
      <c r="M283" s="9" t="s">
        <v>15</v>
      </c>
      <c r="N283" s="9" t="s">
        <v>16</v>
      </c>
      <c r="O283" s="9" t="s">
        <v>19</v>
      </c>
      <c r="P283" s="4"/>
      <c r="Q283" s="49"/>
      <c r="R283" s="48"/>
      <c r="S283" s="8" t="s">
        <v>36</v>
      </c>
      <c r="T283" s="8" t="s">
        <v>18</v>
      </c>
      <c r="U283" s="8" t="s">
        <v>14</v>
      </c>
      <c r="V283" s="8" t="s">
        <v>15</v>
      </c>
      <c r="W283" s="8" t="s">
        <v>16</v>
      </c>
      <c r="X283" s="4"/>
      <c r="Y283" s="2"/>
      <c r="Z283" s="28" t="s">
        <v>17</v>
      </c>
      <c r="AA283" s="9" t="s">
        <v>14</v>
      </c>
      <c r="AB283" s="9" t="s">
        <v>15</v>
      </c>
      <c r="AC283" s="9" t="s">
        <v>16</v>
      </c>
      <c r="AD283" s="9" t="s">
        <v>19</v>
      </c>
      <c r="AE283" s="4"/>
    </row>
    <row r="284" spans="1:33" ht="14.25" thickTop="1" thickBot="1">
      <c r="A284" s="47"/>
      <c r="B284" s="50"/>
      <c r="C284" s="12"/>
      <c r="D284" s="12"/>
      <c r="E284" s="12"/>
      <c r="F284" s="12"/>
      <c r="G284" s="13"/>
      <c r="H284" s="18">
        <v>922689</v>
      </c>
      <c r="I284" s="51"/>
      <c r="J284" s="51"/>
      <c r="K284" s="29">
        <f>D284</f>
        <v>0</v>
      </c>
      <c r="L284" s="70">
        <f>E284</f>
        <v>0</v>
      </c>
      <c r="M284" s="17">
        <f>F284</f>
        <v>0</v>
      </c>
      <c r="N284" s="17">
        <f>G284</f>
        <v>0</v>
      </c>
      <c r="O284" s="20" t="e">
        <f>M285-M284</f>
        <v>#N/A</v>
      </c>
      <c r="P284" s="16"/>
      <c r="Q284" s="49"/>
      <c r="R284" s="50"/>
      <c r="S284" s="12"/>
      <c r="T284" s="12"/>
      <c r="U284" s="12"/>
      <c r="V284" s="12"/>
      <c r="W284" s="13"/>
      <c r="X284" s="16"/>
      <c r="Y284" s="6"/>
      <c r="Z284" s="29">
        <f>T284</f>
        <v>0</v>
      </c>
      <c r="AA284" s="70">
        <f>U284</f>
        <v>0</v>
      </c>
      <c r="AB284" s="17">
        <f>V284</f>
        <v>0</v>
      </c>
      <c r="AC284" s="17">
        <f>W284</f>
        <v>0</v>
      </c>
      <c r="AD284" s="20" t="e">
        <f>AB285-AB284</f>
        <v>#N/A</v>
      </c>
      <c r="AE284" s="16"/>
    </row>
    <row r="285" spans="1:33" ht="14.25" thickTop="1" thickBot="1">
      <c r="A285" s="47"/>
      <c r="B285" s="50"/>
      <c r="H285" s="18">
        <v>896047</v>
      </c>
      <c r="I285" s="51"/>
      <c r="J285" s="51"/>
      <c r="K285" s="30"/>
      <c r="L285" s="23" t="s">
        <v>20</v>
      </c>
      <c r="M285" s="3" t="e">
        <f>VLOOKUP($D284,$D301:$G315,3,FALSE)</f>
        <v>#N/A</v>
      </c>
      <c r="N285" s="17" t="e">
        <f>VLOOKUP($D$4,$D301:$G315,4,FALSE)</f>
        <v>#N/A</v>
      </c>
      <c r="O285" s="26" t="e">
        <f>N285-N284</f>
        <v>#N/A</v>
      </c>
      <c r="P285" s="16"/>
      <c r="Q285" s="49"/>
      <c r="R285" s="50"/>
      <c r="W285" s="1"/>
      <c r="X285" s="16"/>
      <c r="Y285" s="2"/>
      <c r="Z285" s="30"/>
      <c r="AA285" s="23" t="s">
        <v>20</v>
      </c>
      <c r="AB285" s="3" t="e">
        <f>VLOOKUP($T284,$T301:$W315,3,FALSE)</f>
        <v>#N/A</v>
      </c>
      <c r="AC285" s="17" t="e">
        <f>VLOOKUP($T284,$T301:$W315,4,FALSE)</f>
        <v>#N/A</v>
      </c>
      <c r="AD285" s="26" t="e">
        <f>AC285-AC284</f>
        <v>#N/A</v>
      </c>
      <c r="AE285" s="16"/>
    </row>
    <row r="286" spans="1:33" ht="14.25" thickTop="1" thickBot="1">
      <c r="A286" s="47"/>
      <c r="B286" s="50"/>
      <c r="H286" s="18">
        <v>588467</v>
      </c>
      <c r="I286" s="51"/>
      <c r="J286" s="51"/>
      <c r="K286" s="19">
        <f>D285</f>
        <v>0</v>
      </c>
      <c r="L286" s="70">
        <f>E285</f>
        <v>0</v>
      </c>
      <c r="M286" s="3">
        <f>F285</f>
        <v>0</v>
      </c>
      <c r="N286" s="17">
        <f>G285</f>
        <v>0</v>
      </c>
      <c r="O286" s="20" t="e">
        <f>M287-M286</f>
        <v>#N/A</v>
      </c>
      <c r="P286" s="16"/>
      <c r="Q286" s="49"/>
      <c r="R286" s="50"/>
      <c r="W286" s="1"/>
      <c r="X286" s="16"/>
      <c r="Y286" s="6"/>
      <c r="Z286" s="19">
        <f>T285</f>
        <v>0</v>
      </c>
      <c r="AA286" s="70">
        <f>U285</f>
        <v>0</v>
      </c>
      <c r="AB286" s="3">
        <f>V285</f>
        <v>0</v>
      </c>
      <c r="AC286" s="17">
        <f>W285</f>
        <v>0</v>
      </c>
      <c r="AD286" s="20" t="e">
        <f>AB287-AB286</f>
        <v>#N/A</v>
      </c>
      <c r="AE286" s="16"/>
      <c r="AG286" s="35"/>
    </row>
    <row r="287" spans="1:33" ht="14.25" thickTop="1" thickBot="1">
      <c r="A287" s="47"/>
      <c r="B287" s="50"/>
      <c r="H287" s="18">
        <v>600459</v>
      </c>
      <c r="I287" s="51"/>
      <c r="J287" s="51"/>
      <c r="K287" s="30"/>
      <c r="L287" s="23" t="s">
        <v>20</v>
      </c>
      <c r="M287" s="3" t="e">
        <f>VLOOKUP($D285,$D301:$G315,3,FALSE)</f>
        <v>#N/A</v>
      </c>
      <c r="N287" s="17" t="e">
        <f>VLOOKUP($D$5,$D301:$G315,4,FALSE)</f>
        <v>#N/A</v>
      </c>
      <c r="O287" s="26" t="e">
        <f>N287-N286</f>
        <v>#N/A</v>
      </c>
      <c r="P287" s="16"/>
      <c r="Q287" s="49"/>
      <c r="R287" s="50"/>
      <c r="W287" s="1"/>
      <c r="X287" s="16"/>
      <c r="Y287" s="2"/>
      <c r="Z287" s="30"/>
      <c r="AA287" s="23" t="s">
        <v>20</v>
      </c>
      <c r="AB287" s="3" t="e">
        <f>VLOOKUP($T285,$T301:$W315,3,FALSE)</f>
        <v>#N/A</v>
      </c>
      <c r="AC287" s="17" t="e">
        <f>VLOOKUP($T285,$T301:$W315,4,FALSE)</f>
        <v>#N/A</v>
      </c>
      <c r="AD287" s="26" t="e">
        <f>AC287-AC286</f>
        <v>#N/A</v>
      </c>
      <c r="AE287" s="16"/>
    </row>
    <row r="288" spans="1:33" ht="14.25" thickTop="1" thickBot="1">
      <c r="A288" s="47"/>
      <c r="B288" s="50"/>
      <c r="H288" s="18">
        <v>432716</v>
      </c>
      <c r="I288" s="51"/>
      <c r="J288" s="51"/>
      <c r="K288" s="19">
        <f>D286</f>
        <v>0</v>
      </c>
      <c r="L288" s="70">
        <f>E286</f>
        <v>0</v>
      </c>
      <c r="M288" s="3">
        <f>F286</f>
        <v>0</v>
      </c>
      <c r="N288" s="17">
        <f>G286</f>
        <v>0</v>
      </c>
      <c r="O288" s="20" t="e">
        <f>M289-M288</f>
        <v>#N/A</v>
      </c>
      <c r="P288" s="16"/>
      <c r="Q288" s="49"/>
      <c r="R288" s="50"/>
      <c r="W288" s="1"/>
      <c r="X288" s="16"/>
      <c r="Y288" s="6"/>
      <c r="Z288" s="19">
        <f>T286</f>
        <v>0</v>
      </c>
      <c r="AA288" s="70">
        <f>U286</f>
        <v>0</v>
      </c>
      <c r="AB288" s="3">
        <f>V286</f>
        <v>0</v>
      </c>
      <c r="AC288" s="17">
        <f>W286</f>
        <v>0</v>
      </c>
      <c r="AD288" s="20" t="e">
        <f>AB289-AB288</f>
        <v>#N/A</v>
      </c>
      <c r="AE288" s="16"/>
    </row>
    <row r="289" spans="1:31" ht="14.25" thickTop="1" thickBot="1">
      <c r="A289" s="47"/>
      <c r="B289" s="50"/>
      <c r="H289" s="18">
        <v>149538</v>
      </c>
      <c r="I289" s="51"/>
      <c r="J289" s="51"/>
      <c r="K289" s="30"/>
      <c r="L289" s="23" t="s">
        <v>20</v>
      </c>
      <c r="M289" s="3" t="e">
        <f>VLOOKUP($D286,$D301:$G315,3,FALSE)</f>
        <v>#N/A</v>
      </c>
      <c r="N289" s="17" t="e">
        <f>VLOOKUP($D286,$D301:$G315,4,FALSE)</f>
        <v>#N/A</v>
      </c>
      <c r="O289" s="26" t="e">
        <f>N289-N288</f>
        <v>#N/A</v>
      </c>
      <c r="P289" s="16"/>
      <c r="Q289" s="49"/>
      <c r="R289" s="50"/>
      <c r="W289" s="1"/>
      <c r="X289" s="16"/>
      <c r="Y289" s="2"/>
      <c r="Z289" s="30"/>
      <c r="AA289" s="23" t="s">
        <v>20</v>
      </c>
      <c r="AB289" s="3" t="e">
        <f>VLOOKUP($T286,$T301:$W315,3,FALSE)</f>
        <v>#N/A</v>
      </c>
      <c r="AC289" s="17" t="e">
        <f>VLOOKUP($T286,$T301:$W315,4,FALSE)</f>
        <v>#N/A</v>
      </c>
      <c r="AD289" s="26" t="e">
        <f>AC289-AC288</f>
        <v>#N/A</v>
      </c>
      <c r="AE289" s="16"/>
    </row>
    <row r="290" spans="1:31" ht="14.25" thickTop="1" thickBot="1">
      <c r="A290" s="47"/>
      <c r="B290" s="50"/>
      <c r="H290" s="18">
        <v>101933</v>
      </c>
      <c r="I290" s="51"/>
      <c r="J290" s="51"/>
      <c r="K290" s="19">
        <f>D287</f>
        <v>0</v>
      </c>
      <c r="L290" s="70">
        <f>E287</f>
        <v>0</v>
      </c>
      <c r="M290" s="3">
        <f>F287</f>
        <v>0</v>
      </c>
      <c r="N290" s="17">
        <f>G287</f>
        <v>0</v>
      </c>
      <c r="O290" s="20" t="e">
        <f>M291-M290</f>
        <v>#N/A</v>
      </c>
      <c r="P290" s="16"/>
      <c r="Q290" s="49"/>
      <c r="R290" s="50"/>
      <c r="W290" s="1"/>
      <c r="X290" s="16"/>
      <c r="Y290" s="6"/>
      <c r="Z290" s="19">
        <f>T287</f>
        <v>0</v>
      </c>
      <c r="AA290" s="70">
        <f>U287</f>
        <v>0</v>
      </c>
      <c r="AB290" s="3">
        <f>V287</f>
        <v>0</v>
      </c>
      <c r="AC290" s="17">
        <f>W287</f>
        <v>0</v>
      </c>
      <c r="AD290" s="20" t="e">
        <f>AB291-AB290</f>
        <v>#N/A</v>
      </c>
      <c r="AE290" s="16"/>
    </row>
    <row r="291" spans="1:31" ht="14.25" thickTop="1" thickBot="1">
      <c r="A291" s="47"/>
      <c r="B291" s="50"/>
      <c r="H291" s="18">
        <v>6850</v>
      </c>
      <c r="I291" s="51"/>
      <c r="J291" s="51"/>
      <c r="K291" s="30"/>
      <c r="L291" s="23" t="s">
        <v>20</v>
      </c>
      <c r="M291" s="3" t="e">
        <f>VLOOKUP($D287,$D301:$G315,3,FALSE)</f>
        <v>#N/A</v>
      </c>
      <c r="N291" s="17" t="e">
        <f>VLOOKUP($D287,$D301:$G315,4,FALSE)</f>
        <v>#N/A</v>
      </c>
      <c r="O291" s="26" t="e">
        <f>N291-N290</f>
        <v>#N/A</v>
      </c>
      <c r="P291" s="16"/>
      <c r="Q291" s="49"/>
      <c r="R291" s="50"/>
      <c r="W291" s="1"/>
      <c r="X291" s="16"/>
      <c r="Y291" s="2"/>
      <c r="Z291" s="30"/>
      <c r="AA291" s="23" t="s">
        <v>20</v>
      </c>
      <c r="AB291" s="3" t="e">
        <f>VLOOKUP($T287,$T301:$W315,3,FALSE)</f>
        <v>#N/A</v>
      </c>
      <c r="AC291" s="17" t="e">
        <f>VLOOKUP($T287,$T301:$W315,4,FALSE)</f>
        <v>#N/A</v>
      </c>
      <c r="AD291" s="26" t="e">
        <f>AC291-AC290</f>
        <v>#N/A</v>
      </c>
      <c r="AE291" s="16"/>
    </row>
    <row r="292" spans="1:31" ht="14.25" thickTop="1" thickBot="1">
      <c r="A292" s="47"/>
      <c r="B292" s="50"/>
      <c r="H292" s="18">
        <v>6165</v>
      </c>
      <c r="I292" s="51"/>
      <c r="J292" s="51"/>
      <c r="K292" s="29">
        <f>D288</f>
        <v>0</v>
      </c>
      <c r="L292" s="70">
        <f>E288</f>
        <v>0</v>
      </c>
      <c r="M292" s="3">
        <f>F288</f>
        <v>0</v>
      </c>
      <c r="N292" s="17">
        <f>G288</f>
        <v>0</v>
      </c>
      <c r="O292" s="20" t="e">
        <f>M293-M292</f>
        <v>#N/A</v>
      </c>
      <c r="P292" s="16"/>
      <c r="Q292" s="49"/>
      <c r="R292" s="50"/>
      <c r="W292" s="1"/>
      <c r="X292" s="16"/>
      <c r="Y292" s="6"/>
      <c r="Z292" s="29">
        <f>T288</f>
        <v>0</v>
      </c>
      <c r="AA292" s="70">
        <f>U288</f>
        <v>0</v>
      </c>
      <c r="AB292" s="3">
        <f>V288</f>
        <v>0</v>
      </c>
      <c r="AC292" s="17">
        <f>W288</f>
        <v>0</v>
      </c>
      <c r="AD292" s="20" t="e">
        <f>AB293-AB292</f>
        <v>#N/A</v>
      </c>
      <c r="AE292" s="16"/>
    </row>
    <row r="293" spans="1:31" ht="14.25" thickTop="1" thickBot="1">
      <c r="A293" s="47"/>
      <c r="B293" s="50"/>
      <c r="H293" s="18">
        <v>6010</v>
      </c>
      <c r="I293" s="51"/>
      <c r="J293" s="51"/>
      <c r="K293" s="30"/>
      <c r="L293" s="23" t="s">
        <v>20</v>
      </c>
      <c r="M293" s="3" t="e">
        <f>VLOOKUP($D288,$D301:$G315,3,FALSE)</f>
        <v>#N/A</v>
      </c>
      <c r="N293" s="17" t="e">
        <f>VLOOKUP($D288,$D301:$G315,4,FALSE)</f>
        <v>#N/A</v>
      </c>
      <c r="O293" s="26" t="e">
        <f>N293-N292</f>
        <v>#N/A</v>
      </c>
      <c r="P293" s="16"/>
      <c r="Q293" s="49"/>
      <c r="R293" s="50"/>
      <c r="W293" s="1"/>
      <c r="X293" s="16"/>
      <c r="Y293" s="2"/>
      <c r="Z293" s="30"/>
      <c r="AA293" s="23" t="s">
        <v>20</v>
      </c>
      <c r="AB293" s="3" t="e">
        <f>VLOOKUP($T288,$T301:$W315,3,FALSE)</f>
        <v>#N/A</v>
      </c>
      <c r="AC293" s="17" t="e">
        <f>VLOOKUP($T288,$T301:$W315,4,FALSE)</f>
        <v>#N/A</v>
      </c>
      <c r="AD293" s="26" t="e">
        <f>AC293-AC292</f>
        <v>#N/A</v>
      </c>
      <c r="AE293" s="16"/>
    </row>
    <row r="294" spans="1:31" ht="14.25" thickTop="1" thickBot="1">
      <c r="A294" s="47"/>
      <c r="B294" s="50"/>
      <c r="H294" s="2"/>
      <c r="I294" s="51"/>
      <c r="J294" s="51"/>
      <c r="K294" s="19">
        <f>D289</f>
        <v>0</v>
      </c>
      <c r="L294" s="70">
        <f>E289</f>
        <v>0</v>
      </c>
      <c r="M294" s="3">
        <f>F289</f>
        <v>0</v>
      </c>
      <c r="N294" s="17">
        <f>G289</f>
        <v>0</v>
      </c>
      <c r="O294" s="20" t="e">
        <f>M295-M294</f>
        <v>#N/A</v>
      </c>
      <c r="P294" s="16"/>
      <c r="Q294" s="49"/>
      <c r="R294" s="50"/>
      <c r="W294" s="1"/>
      <c r="X294" s="16"/>
      <c r="Y294" s="6"/>
      <c r="Z294" s="19">
        <f>T289</f>
        <v>0</v>
      </c>
      <c r="AA294" s="70">
        <f>U289</f>
        <v>0</v>
      </c>
      <c r="AB294" s="3">
        <f>V289</f>
        <v>0</v>
      </c>
      <c r="AC294" s="17">
        <f>W289</f>
        <v>0</v>
      </c>
      <c r="AD294" s="20" t="e">
        <f>AB295-AB294</f>
        <v>#N/A</v>
      </c>
      <c r="AE294" s="16"/>
    </row>
    <row r="295" spans="1:31" ht="14.25" thickTop="1" thickBot="1">
      <c r="A295" s="47"/>
      <c r="B295" s="50"/>
      <c r="H295" s="2"/>
      <c r="I295" s="51"/>
      <c r="J295" s="51"/>
      <c r="K295" s="30"/>
      <c r="L295" s="23" t="s">
        <v>20</v>
      </c>
      <c r="M295" s="3" t="e">
        <f>VLOOKUP($D289,$D301:$G315,3,FALSE)</f>
        <v>#N/A</v>
      </c>
      <c r="N295" s="17" t="e">
        <f>VLOOKUP($D289,$D301:$G315,4,FALSE)</f>
        <v>#N/A</v>
      </c>
      <c r="O295" s="26" t="e">
        <f>N295-N294</f>
        <v>#N/A</v>
      </c>
      <c r="P295" s="16"/>
      <c r="Q295" s="49"/>
      <c r="R295" s="50"/>
      <c r="W295" s="1"/>
      <c r="X295" s="16"/>
      <c r="Y295" s="2"/>
      <c r="Z295" s="30"/>
      <c r="AA295" s="23" t="s">
        <v>20</v>
      </c>
      <c r="AB295" s="3" t="e">
        <f>VLOOKUP($T289,$T301:$W315,3,FALSE)</f>
        <v>#N/A</v>
      </c>
      <c r="AC295" s="17" t="e">
        <f>VLOOKUP($T289,$T301:$W315,4,FALSE)</f>
        <v>#N/A</v>
      </c>
      <c r="AD295" s="26" t="e">
        <f>AC295-AC294</f>
        <v>#N/A</v>
      </c>
      <c r="AE295" s="16"/>
    </row>
    <row r="296" spans="1:31" ht="14.25" thickTop="1" thickBot="1">
      <c r="A296" s="47"/>
      <c r="B296" s="50"/>
      <c r="H296" s="2"/>
      <c r="I296" s="51"/>
      <c r="J296" s="51"/>
      <c r="K296" s="19">
        <f>D290</f>
        <v>0</v>
      </c>
      <c r="L296" s="70">
        <f>E290</f>
        <v>0</v>
      </c>
      <c r="M296" s="3">
        <f>F290</f>
        <v>0</v>
      </c>
      <c r="N296" s="17">
        <f>G290</f>
        <v>0</v>
      </c>
      <c r="O296" s="20" t="e">
        <f>M297-M296</f>
        <v>#N/A</v>
      </c>
      <c r="P296" s="16"/>
      <c r="Q296" s="49"/>
      <c r="R296" s="50"/>
      <c r="W296" s="1"/>
      <c r="X296" s="16"/>
      <c r="Y296" s="6"/>
      <c r="Z296" s="19">
        <f>T290</f>
        <v>0</v>
      </c>
      <c r="AA296" s="70">
        <f>U290</f>
        <v>0</v>
      </c>
      <c r="AB296" s="3">
        <f>V290</f>
        <v>0</v>
      </c>
      <c r="AC296" s="17">
        <f>W290</f>
        <v>0</v>
      </c>
      <c r="AD296" s="20" t="e">
        <f>AB297-AB296</f>
        <v>#N/A</v>
      </c>
      <c r="AE296" s="16"/>
    </row>
    <row r="297" spans="1:31" ht="14.25" thickTop="1" thickBot="1">
      <c r="A297" s="47"/>
      <c r="B297" s="50"/>
      <c r="H297" s="2"/>
      <c r="I297" s="51"/>
      <c r="J297" s="51"/>
      <c r="K297" s="30"/>
      <c r="L297" s="23" t="s">
        <v>20</v>
      </c>
      <c r="M297" s="3" t="e">
        <f>VLOOKUP($D290,$D301:$G315,3,FALSE)</f>
        <v>#N/A</v>
      </c>
      <c r="N297" s="17" t="e">
        <f>VLOOKUP($D290,$D301:$G315,4,FALSE)</f>
        <v>#N/A</v>
      </c>
      <c r="O297" s="26" t="e">
        <f>N297-N296</f>
        <v>#N/A</v>
      </c>
      <c r="P297" s="16"/>
      <c r="Q297" s="49"/>
      <c r="R297" s="50"/>
      <c r="W297" s="1"/>
      <c r="X297" s="16"/>
      <c r="Y297" s="2"/>
      <c r="Z297" s="30"/>
      <c r="AA297" s="23" t="s">
        <v>20</v>
      </c>
      <c r="AB297" s="3" t="e">
        <f>VLOOKUP($T290,$T301:$W315,3,FALSE)</f>
        <v>#N/A</v>
      </c>
      <c r="AC297" s="17" t="e">
        <f>VLOOKUP($T290,$T301:$W315,4,FALSE)</f>
        <v>#N/A</v>
      </c>
      <c r="AD297" s="26" t="e">
        <f>AC297-AC296</f>
        <v>#N/A</v>
      </c>
      <c r="AE297" s="16"/>
    </row>
    <row r="298" spans="1:31" ht="14.25" thickTop="1" thickBot="1">
      <c r="A298" s="47"/>
      <c r="B298" s="50"/>
      <c r="H298" s="2"/>
      <c r="I298" s="51"/>
      <c r="J298" s="51"/>
      <c r="K298" s="19">
        <f>D291</f>
        <v>0</v>
      </c>
      <c r="L298" s="70">
        <f>E291</f>
        <v>0</v>
      </c>
      <c r="M298" s="21">
        <f>F291</f>
        <v>0</v>
      </c>
      <c r="N298" s="22">
        <f>G291</f>
        <v>0</v>
      </c>
      <c r="O298" s="20" t="e">
        <f>M299-M298</f>
        <v>#N/A</v>
      </c>
      <c r="P298" s="16"/>
      <c r="Q298" s="49"/>
      <c r="R298" s="50"/>
      <c r="W298" s="1"/>
      <c r="X298" s="16"/>
      <c r="Y298" s="6"/>
      <c r="Z298" s="19">
        <f>T291</f>
        <v>0</v>
      </c>
      <c r="AA298" s="70">
        <f>U291</f>
        <v>0</v>
      </c>
      <c r="AB298" s="21">
        <f>V291</f>
        <v>0</v>
      </c>
      <c r="AC298" s="22">
        <f>W291</f>
        <v>0</v>
      </c>
      <c r="AD298" s="20" t="e">
        <f>AB299-AB298</f>
        <v>#N/A</v>
      </c>
      <c r="AE298" s="16"/>
    </row>
    <row r="299" spans="1:31" ht="14.25" thickTop="1" thickBot="1">
      <c r="A299" s="47"/>
      <c r="B299" s="48"/>
      <c r="C299" s="32"/>
      <c r="D299" s="32" t="s">
        <v>46</v>
      </c>
      <c r="E299" s="42"/>
      <c r="F299" s="32" t="s">
        <v>47</v>
      </c>
      <c r="G299" s="33"/>
      <c r="H299" s="2"/>
      <c r="I299" s="51"/>
      <c r="J299" s="51"/>
      <c r="K299" s="30"/>
      <c r="L299" s="23" t="s">
        <v>20</v>
      </c>
      <c r="M299" s="3" t="e">
        <f>VLOOKUP($D291,$D301:$G315,3,FALSE)</f>
        <v>#N/A</v>
      </c>
      <c r="N299" s="17" t="e">
        <f>VLOOKUP($D291,$D301:$G315,4,FALSE)</f>
        <v>#N/A</v>
      </c>
      <c r="O299" s="26" t="e">
        <f>N299-N298</f>
        <v>#N/A</v>
      </c>
      <c r="P299" s="16"/>
      <c r="Q299" s="49"/>
      <c r="R299" s="48"/>
      <c r="S299" s="32"/>
      <c r="T299" s="32" t="s">
        <v>46</v>
      </c>
      <c r="U299" s="42"/>
      <c r="V299" s="32" t="s">
        <v>47</v>
      </c>
      <c r="W299" s="33"/>
      <c r="X299" s="16"/>
      <c r="Y299" s="2"/>
      <c r="Z299" s="30"/>
      <c r="AA299" s="23" t="s">
        <v>20</v>
      </c>
      <c r="AB299" s="3" t="e">
        <f>VLOOKUP($T291,$T301:$W315,3,FALSE)</f>
        <v>#N/A</v>
      </c>
      <c r="AC299" s="17" t="e">
        <f>VLOOKUP($T291,$T301:$W315,4,FALSE)</f>
        <v>#N/A</v>
      </c>
      <c r="AD299" s="26" t="e">
        <f>AC299-AC298</f>
        <v>#N/A</v>
      </c>
      <c r="AE299" s="16"/>
    </row>
    <row r="300" spans="1:31" ht="14.25" thickTop="1" thickBot="1">
      <c r="A300" s="47"/>
      <c r="B300" s="51"/>
      <c r="C300" s="8" t="s">
        <v>36</v>
      </c>
      <c r="D300" s="8" t="s">
        <v>18</v>
      </c>
      <c r="E300" s="8" t="s">
        <v>14</v>
      </c>
      <c r="F300" s="8" t="s">
        <v>15</v>
      </c>
      <c r="G300" s="8" t="s">
        <v>16</v>
      </c>
      <c r="H300" s="2"/>
      <c r="I300" s="51"/>
      <c r="J300" s="51"/>
      <c r="K300" s="29">
        <f>D292</f>
        <v>0</v>
      </c>
      <c r="L300" s="70">
        <f>E292</f>
        <v>0</v>
      </c>
      <c r="M300" s="3">
        <f>F292</f>
        <v>0</v>
      </c>
      <c r="N300" s="17">
        <f>G292</f>
        <v>0</v>
      </c>
      <c r="O300" s="20" t="e">
        <f>M301-M300</f>
        <v>#N/A</v>
      </c>
      <c r="P300" s="16"/>
      <c r="Q300" s="49"/>
      <c r="R300" s="51"/>
      <c r="S300" s="8" t="s">
        <v>36</v>
      </c>
      <c r="T300" s="8" t="s">
        <v>18</v>
      </c>
      <c r="U300" s="8" t="s">
        <v>14</v>
      </c>
      <c r="V300" s="8" t="s">
        <v>15</v>
      </c>
      <c r="W300" s="8" t="s">
        <v>16</v>
      </c>
      <c r="X300" s="16"/>
      <c r="Y300" s="6"/>
      <c r="Z300" s="29">
        <f>T292</f>
        <v>0</v>
      </c>
      <c r="AA300" s="70">
        <f>U292</f>
        <v>0</v>
      </c>
      <c r="AB300" s="3">
        <f>V292</f>
        <v>0</v>
      </c>
      <c r="AC300" s="17">
        <f>W292</f>
        <v>0</v>
      </c>
      <c r="AD300" s="20" t="e">
        <f>AB301-AB300</f>
        <v>#N/A</v>
      </c>
      <c r="AE300" s="16"/>
    </row>
    <row r="301" spans="1:31" ht="14.25" thickTop="1" thickBot="1">
      <c r="A301" s="47"/>
      <c r="B301" s="50"/>
      <c r="C301" s="12"/>
      <c r="D301" s="12"/>
      <c r="E301" s="12"/>
      <c r="F301" s="12"/>
      <c r="G301" s="13"/>
      <c r="H301" s="2"/>
      <c r="I301" s="51"/>
      <c r="J301" s="51"/>
      <c r="K301" s="30"/>
      <c r="L301" s="23" t="s">
        <v>20</v>
      </c>
      <c r="M301" s="3" t="e">
        <f>VLOOKUP($D292,$D301:$G315,3,FALSE)</f>
        <v>#N/A</v>
      </c>
      <c r="N301" s="17" t="e">
        <f>VLOOKUP($D292,$D301:$G315,4,FALSE)</f>
        <v>#N/A</v>
      </c>
      <c r="O301" s="26" t="e">
        <f>N301-N300</f>
        <v>#N/A</v>
      </c>
      <c r="P301" s="16"/>
      <c r="Q301" s="49"/>
      <c r="R301" s="50"/>
      <c r="S301" s="12"/>
      <c r="T301" s="12"/>
      <c r="U301" s="12"/>
      <c r="V301" s="12"/>
      <c r="W301" s="13"/>
      <c r="X301" s="16"/>
      <c r="Y301" s="2"/>
      <c r="Z301" s="30"/>
      <c r="AA301" s="23" t="s">
        <v>20</v>
      </c>
      <c r="AB301" s="3" t="e">
        <f>VLOOKUP($T292,$T301:$W315,3,FALSE)</f>
        <v>#N/A</v>
      </c>
      <c r="AC301" s="17" t="e">
        <f>VLOOKUP($T292,$T301:$W315,4,FALSE)</f>
        <v>#N/A</v>
      </c>
      <c r="AD301" s="26" t="e">
        <f>AC301-AC300</f>
        <v>#N/A</v>
      </c>
      <c r="AE301" s="16"/>
    </row>
    <row r="302" spans="1:31" ht="14.25" thickTop="1" thickBot="1">
      <c r="A302" s="47"/>
      <c r="B302" s="50"/>
      <c r="H302" s="2"/>
      <c r="I302" s="51"/>
      <c r="J302" s="51"/>
      <c r="K302" s="19">
        <f>D293</f>
        <v>0</v>
      </c>
      <c r="L302" s="70">
        <f>E293</f>
        <v>0</v>
      </c>
      <c r="M302" s="3">
        <f>F293</f>
        <v>0</v>
      </c>
      <c r="N302" s="17">
        <f>G293</f>
        <v>0</v>
      </c>
      <c r="O302" s="20" t="e">
        <f>M303-M302</f>
        <v>#N/A</v>
      </c>
      <c r="P302" s="16"/>
      <c r="Q302" s="49"/>
      <c r="R302" s="50"/>
      <c r="W302" s="1"/>
      <c r="X302" s="16"/>
      <c r="Y302" s="6"/>
      <c r="Z302" s="19">
        <f>T293</f>
        <v>0</v>
      </c>
      <c r="AA302" s="70">
        <f>U293</f>
        <v>0</v>
      </c>
      <c r="AB302" s="3">
        <f>V293</f>
        <v>0</v>
      </c>
      <c r="AC302" s="17">
        <f>W293</f>
        <v>0</v>
      </c>
      <c r="AD302" s="20" t="e">
        <f>AB303-AB302</f>
        <v>#N/A</v>
      </c>
      <c r="AE302" s="16"/>
    </row>
    <row r="303" spans="1:31" ht="14.25" thickTop="1" thickBot="1">
      <c r="A303" s="47"/>
      <c r="B303" s="50"/>
      <c r="H303" s="2"/>
      <c r="I303" s="51"/>
      <c r="J303" s="51"/>
      <c r="K303" s="30"/>
      <c r="L303" s="23" t="s">
        <v>20</v>
      </c>
      <c r="M303" s="3" t="e">
        <f>VLOOKUP($D293,$D301:$G315,3,FALSE)</f>
        <v>#N/A</v>
      </c>
      <c r="N303" s="17" t="e">
        <f>VLOOKUP($D293,$D301:$G315,4,FALSE)</f>
        <v>#N/A</v>
      </c>
      <c r="O303" s="26" t="e">
        <f>N303-N302</f>
        <v>#N/A</v>
      </c>
      <c r="P303" s="16"/>
      <c r="Q303" s="49"/>
      <c r="R303" s="50"/>
      <c r="W303" s="1"/>
      <c r="X303" s="16"/>
      <c r="Y303" s="2"/>
      <c r="Z303" s="30"/>
      <c r="AA303" s="23" t="s">
        <v>20</v>
      </c>
      <c r="AB303" s="3" t="e">
        <f>VLOOKUP($T293,$T301:$W315,3,FALSE)</f>
        <v>#N/A</v>
      </c>
      <c r="AC303" s="17" t="e">
        <f>VLOOKUP($T293,$T301:$W315,4,FALSE)</f>
        <v>#N/A</v>
      </c>
      <c r="AD303" s="26" t="e">
        <f>AC303-AC302</f>
        <v>#N/A</v>
      </c>
      <c r="AE303" s="16"/>
    </row>
    <row r="304" spans="1:31" ht="14.25" thickTop="1" thickBot="1">
      <c r="A304" s="47"/>
      <c r="B304" s="50"/>
      <c r="H304" s="2"/>
      <c r="I304" s="51"/>
      <c r="J304" s="51"/>
      <c r="K304" s="19">
        <f>D294</f>
        <v>0</v>
      </c>
      <c r="L304" s="70">
        <f>E294</f>
        <v>0</v>
      </c>
      <c r="M304" s="3">
        <f>F294</f>
        <v>0</v>
      </c>
      <c r="N304" s="17">
        <f>G294</f>
        <v>0</v>
      </c>
      <c r="O304" s="20" t="e">
        <f>M305-M304</f>
        <v>#N/A</v>
      </c>
      <c r="P304" s="16"/>
      <c r="Q304" s="49"/>
      <c r="R304" s="50"/>
      <c r="W304" s="1"/>
      <c r="X304" s="16"/>
      <c r="Y304" s="6"/>
      <c r="Z304" s="19">
        <f>T294</f>
        <v>0</v>
      </c>
      <c r="AA304" s="70">
        <f>U294</f>
        <v>0</v>
      </c>
      <c r="AB304" s="3">
        <f>V294</f>
        <v>0</v>
      </c>
      <c r="AC304" s="17">
        <f>W294</f>
        <v>0</v>
      </c>
      <c r="AD304" s="20" t="e">
        <f>AB305-AB304</f>
        <v>#N/A</v>
      </c>
      <c r="AE304" s="16"/>
    </row>
    <row r="305" spans="1:31" ht="14.25" thickTop="1" thickBot="1">
      <c r="A305" s="47"/>
      <c r="B305" s="50"/>
      <c r="H305" s="2"/>
      <c r="I305" s="51"/>
      <c r="J305" s="51"/>
      <c r="K305" s="30"/>
      <c r="L305" s="23" t="s">
        <v>20</v>
      </c>
      <c r="M305" s="3" t="e">
        <f>VLOOKUP($D294,$D301:$G315,3,FALSE)</f>
        <v>#N/A</v>
      </c>
      <c r="N305" s="17" t="e">
        <f>VLOOKUP($D294,$D301:$G315,4,FALSE)</f>
        <v>#N/A</v>
      </c>
      <c r="O305" s="26" t="e">
        <f>N305-N304</f>
        <v>#N/A</v>
      </c>
      <c r="P305" s="16"/>
      <c r="Q305" s="49"/>
      <c r="R305" s="50"/>
      <c r="W305" s="1"/>
      <c r="X305" s="16"/>
      <c r="Y305" s="2"/>
      <c r="Z305" s="30"/>
      <c r="AA305" s="23" t="s">
        <v>20</v>
      </c>
      <c r="AB305" s="3" t="e">
        <f>VLOOKUP($T294,$T301:$W315,3,FALSE)</f>
        <v>#N/A</v>
      </c>
      <c r="AC305" s="17" t="e">
        <f>VLOOKUP($T294,$T301:$W315,4,FALSE)</f>
        <v>#N/A</v>
      </c>
      <c r="AD305" s="26" t="e">
        <f>AC305-AC304</f>
        <v>#N/A</v>
      </c>
      <c r="AE305" s="16"/>
    </row>
    <row r="306" spans="1:31" ht="14.25" thickTop="1" thickBot="1">
      <c r="A306" s="47"/>
      <c r="B306" s="50"/>
      <c r="H306" s="2"/>
      <c r="I306" s="51"/>
      <c r="J306" s="51"/>
      <c r="K306" s="19">
        <f>D295</f>
        <v>0</v>
      </c>
      <c r="L306" s="70">
        <f>E295</f>
        <v>0</v>
      </c>
      <c r="M306" s="3">
        <f>F295</f>
        <v>0</v>
      </c>
      <c r="N306" s="17">
        <f>G295</f>
        <v>0</v>
      </c>
      <c r="O306" s="20" t="e">
        <f>M307-M306</f>
        <v>#N/A</v>
      </c>
      <c r="P306" s="16"/>
      <c r="Q306" s="49"/>
      <c r="R306" s="50"/>
      <c r="W306" s="1"/>
      <c r="X306" s="16"/>
      <c r="Y306" s="6"/>
      <c r="Z306" s="19">
        <f>T295</f>
        <v>0</v>
      </c>
      <c r="AA306" s="70">
        <f>U295</f>
        <v>0</v>
      </c>
      <c r="AB306" s="3">
        <f>V295</f>
        <v>0</v>
      </c>
      <c r="AC306" s="17">
        <f>W295</f>
        <v>0</v>
      </c>
      <c r="AD306" s="20" t="e">
        <f>AB307-AB306</f>
        <v>#N/A</v>
      </c>
      <c r="AE306" s="16"/>
    </row>
    <row r="307" spans="1:31" ht="14.25" thickTop="1" thickBot="1">
      <c r="A307" s="47"/>
      <c r="B307" s="50"/>
      <c r="H307" s="2"/>
      <c r="I307" s="51"/>
      <c r="J307" s="51"/>
      <c r="K307" s="30"/>
      <c r="L307" s="23" t="s">
        <v>20</v>
      </c>
      <c r="M307" s="3" t="e">
        <f>VLOOKUP($D295,$D301:$G315,3,FALSE)</f>
        <v>#N/A</v>
      </c>
      <c r="N307" s="17" t="e">
        <f>VLOOKUP($D295,$D301:$G315,4,FALSE)</f>
        <v>#N/A</v>
      </c>
      <c r="O307" s="26" t="e">
        <f>N307-N306</f>
        <v>#N/A</v>
      </c>
      <c r="P307" s="16"/>
      <c r="Q307" s="49"/>
      <c r="R307" s="50"/>
      <c r="W307" s="1"/>
      <c r="X307" s="16"/>
      <c r="Y307" s="2"/>
      <c r="Z307" s="30"/>
      <c r="AA307" s="23" t="s">
        <v>20</v>
      </c>
      <c r="AB307" s="3" t="e">
        <f>VLOOKUP($T295,$T301:$W315,3,FALSE)</f>
        <v>#N/A</v>
      </c>
      <c r="AC307" s="17" t="e">
        <f>VLOOKUP($T295,$T301:$W315,4,FALSE)</f>
        <v>#N/A</v>
      </c>
      <c r="AD307" s="26" t="e">
        <f>AC307-AC306</f>
        <v>#N/A</v>
      </c>
      <c r="AE307" s="16"/>
    </row>
    <row r="308" spans="1:31" ht="14.25" thickTop="1" thickBot="1">
      <c r="A308" s="47"/>
      <c r="B308" s="50"/>
      <c r="H308" s="2"/>
      <c r="I308" s="51"/>
      <c r="J308" s="51"/>
      <c r="K308" s="29">
        <f>D296</f>
        <v>0</v>
      </c>
      <c r="L308" s="70">
        <f>E296</f>
        <v>0</v>
      </c>
      <c r="M308" s="3">
        <f>F296</f>
        <v>0</v>
      </c>
      <c r="N308" s="17">
        <f>G296</f>
        <v>0</v>
      </c>
      <c r="O308" s="20" t="e">
        <f>M309-M308</f>
        <v>#N/A</v>
      </c>
      <c r="P308" s="16"/>
      <c r="Q308" s="49"/>
      <c r="R308" s="50"/>
      <c r="W308" s="1"/>
      <c r="X308" s="16"/>
      <c r="Y308" s="6"/>
      <c r="Z308" s="29">
        <f>T296</f>
        <v>0</v>
      </c>
      <c r="AA308" s="70">
        <f>U296</f>
        <v>0</v>
      </c>
      <c r="AB308" s="3">
        <f>V296</f>
        <v>0</v>
      </c>
      <c r="AC308" s="17">
        <f>W296</f>
        <v>0</v>
      </c>
      <c r="AD308" s="20" t="e">
        <f>AB309-AB308</f>
        <v>#N/A</v>
      </c>
      <c r="AE308" s="16"/>
    </row>
    <row r="309" spans="1:31" ht="14.25" thickTop="1" thickBot="1">
      <c r="A309" s="47"/>
      <c r="B309" s="50"/>
      <c r="H309" s="2"/>
      <c r="I309" s="51"/>
      <c r="J309" s="51"/>
      <c r="K309" s="30"/>
      <c r="L309" s="23" t="s">
        <v>20</v>
      </c>
      <c r="M309" s="3" t="e">
        <f>VLOOKUP($D296,$D301:$G315,3,FALSE)</f>
        <v>#N/A</v>
      </c>
      <c r="N309" s="17" t="e">
        <f>VLOOKUP($D296,$D301:$G315,4,FALSE)</f>
        <v>#N/A</v>
      </c>
      <c r="O309" s="26" t="e">
        <f>N309-N308</f>
        <v>#N/A</v>
      </c>
      <c r="P309" s="16"/>
      <c r="Q309" s="49"/>
      <c r="R309" s="50"/>
      <c r="W309" s="1"/>
      <c r="X309" s="16"/>
      <c r="Y309" s="2"/>
      <c r="Z309" s="30"/>
      <c r="AA309" s="23" t="s">
        <v>20</v>
      </c>
      <c r="AB309" s="3" t="e">
        <f>VLOOKUP($T296,$T301:$W315,3,FALSE)</f>
        <v>#N/A</v>
      </c>
      <c r="AC309" s="17" t="e">
        <f>VLOOKUP($T296,$T301:$W315,4,FALSE)</f>
        <v>#N/A</v>
      </c>
      <c r="AD309" s="26" t="e">
        <f>AC309-AC308</f>
        <v>#N/A</v>
      </c>
      <c r="AE309" s="16"/>
    </row>
    <row r="310" spans="1:31" ht="14.25" thickTop="1" thickBot="1">
      <c r="A310" s="47"/>
      <c r="B310" s="50"/>
      <c r="H310" s="2"/>
      <c r="I310" s="51"/>
      <c r="J310" s="51"/>
      <c r="K310" s="19">
        <f>D297</f>
        <v>0</v>
      </c>
      <c r="L310" s="70">
        <f>E297</f>
        <v>0</v>
      </c>
      <c r="M310" s="3">
        <f>F297</f>
        <v>0</v>
      </c>
      <c r="N310" s="17">
        <f>G297</f>
        <v>0</v>
      </c>
      <c r="O310" s="20" t="e">
        <f>M311-M310</f>
        <v>#N/A</v>
      </c>
      <c r="P310" s="16"/>
      <c r="Q310" s="49"/>
      <c r="R310" s="50"/>
      <c r="W310" s="1"/>
      <c r="X310" s="16"/>
      <c r="Y310" s="6"/>
      <c r="Z310" s="19">
        <f>T297</f>
        <v>0</v>
      </c>
      <c r="AA310" s="70">
        <f>U297</f>
        <v>0</v>
      </c>
      <c r="AB310" s="3">
        <f>V297</f>
        <v>0</v>
      </c>
      <c r="AC310" s="17">
        <f>W297</f>
        <v>0</v>
      </c>
      <c r="AD310" s="20" t="e">
        <f>AB311-AB310</f>
        <v>#N/A</v>
      </c>
      <c r="AE310" s="16"/>
    </row>
    <row r="311" spans="1:31" ht="14.25" thickTop="1" thickBot="1">
      <c r="A311" s="47"/>
      <c r="B311" s="50"/>
      <c r="H311" s="2"/>
      <c r="I311" s="51"/>
      <c r="J311" s="51"/>
      <c r="K311" s="30"/>
      <c r="L311" s="23" t="s">
        <v>20</v>
      </c>
      <c r="M311" s="3" t="e">
        <f>VLOOKUP($D297,$D301:$G315,3,FALSE)</f>
        <v>#N/A</v>
      </c>
      <c r="N311" s="17" t="e">
        <f>VLOOKUP($D297,$D301:$G315,4,FALSE)</f>
        <v>#N/A</v>
      </c>
      <c r="O311" s="26" t="e">
        <f>N311-N310</f>
        <v>#N/A</v>
      </c>
      <c r="P311" s="16"/>
      <c r="Q311" s="49"/>
      <c r="R311" s="50"/>
      <c r="W311" s="1"/>
      <c r="X311" s="16"/>
      <c r="Y311" s="2"/>
      <c r="Z311" s="30"/>
      <c r="AA311" s="23" t="s">
        <v>20</v>
      </c>
      <c r="AB311" s="3" t="e">
        <f>VLOOKUP($T297,$T301:$W315,3,FALSE)</f>
        <v>#N/A</v>
      </c>
      <c r="AC311" s="17" t="e">
        <f>VLOOKUP($T297,$T301:$W315,4,FALSE)</f>
        <v>#N/A</v>
      </c>
      <c r="AD311" s="26" t="e">
        <f>AC311-AC310</f>
        <v>#N/A</v>
      </c>
      <c r="AE311" s="16"/>
    </row>
    <row r="312" spans="1:31" ht="14.25" thickTop="1" thickBot="1">
      <c r="A312" s="47"/>
      <c r="B312" s="50"/>
      <c r="H312" s="2"/>
      <c r="I312" s="51"/>
      <c r="J312" s="51"/>
      <c r="K312" s="19">
        <f>D298</f>
        <v>0</v>
      </c>
      <c r="L312" s="70">
        <f>E298</f>
        <v>0</v>
      </c>
      <c r="M312" s="3">
        <f>F298</f>
        <v>0</v>
      </c>
      <c r="N312" s="17">
        <f>G298</f>
        <v>0</v>
      </c>
      <c r="O312" s="20" t="e">
        <f>M313-M312</f>
        <v>#N/A</v>
      </c>
      <c r="P312" s="16"/>
      <c r="Q312" s="49"/>
      <c r="R312" s="50"/>
      <c r="W312" s="1"/>
      <c r="X312" s="16"/>
      <c r="Y312" s="6"/>
      <c r="Z312" s="19">
        <f>T298</f>
        <v>0</v>
      </c>
      <c r="AA312" s="70">
        <f>U298</f>
        <v>0</v>
      </c>
      <c r="AB312" s="3">
        <f>V298</f>
        <v>0</v>
      </c>
      <c r="AC312" s="17">
        <f>W298</f>
        <v>0</v>
      </c>
      <c r="AD312" s="20" t="e">
        <f>AB313-AB312</f>
        <v>#N/A</v>
      </c>
      <c r="AE312" s="16"/>
    </row>
    <row r="313" spans="1:31" ht="14.25" thickTop="1" thickBot="1">
      <c r="A313" s="47"/>
      <c r="B313" s="50"/>
      <c r="H313" s="2"/>
      <c r="I313" s="51"/>
      <c r="J313" s="51"/>
      <c r="K313" s="30"/>
      <c r="L313" s="24" t="s">
        <v>20</v>
      </c>
      <c r="M313" s="3" t="e">
        <f>VLOOKUP($D298,$D301:$G315,3,FALSE)</f>
        <v>#N/A</v>
      </c>
      <c r="N313" s="17" t="e">
        <f>VLOOKUP($D298,$D301:$G315,4,FALSE)</f>
        <v>#N/A</v>
      </c>
      <c r="O313" s="25" t="e">
        <f>N313-N312</f>
        <v>#N/A</v>
      </c>
      <c r="P313" s="38"/>
      <c r="Q313" s="49"/>
      <c r="R313" s="50"/>
      <c r="W313" s="1"/>
      <c r="X313" s="38"/>
      <c r="Y313" s="2"/>
      <c r="Z313" s="30"/>
      <c r="AA313" s="24" t="s">
        <v>20</v>
      </c>
      <c r="AB313" s="3" t="e">
        <f>VLOOKUP($T298,$T301:$W315,3,FALSE)</f>
        <v>#N/A</v>
      </c>
      <c r="AC313" s="17" t="e">
        <f>VLOOKUP($T298,$T301:$W315,4,FALSE)</f>
        <v>#N/A</v>
      </c>
      <c r="AD313" s="25" t="e">
        <f>AC313-AC312</f>
        <v>#N/A</v>
      </c>
      <c r="AE313" s="38"/>
    </row>
    <row r="314" spans="1:31" ht="13.5" thickTop="1">
      <c r="A314" s="47"/>
      <c r="B314" s="50"/>
      <c r="H314" s="2"/>
      <c r="I314" s="48"/>
      <c r="J314" s="2"/>
      <c r="K314" s="31"/>
      <c r="L314" s="6"/>
      <c r="M314" s="11"/>
      <c r="N314" s="11"/>
      <c r="O314" s="6"/>
      <c r="P314" s="38"/>
      <c r="Q314" s="49"/>
      <c r="R314" s="50"/>
      <c r="W314" s="1"/>
      <c r="X314" s="38"/>
      <c r="Y314" s="2"/>
      <c r="Z314" s="31"/>
      <c r="AA314" s="6"/>
      <c r="AB314" s="11"/>
      <c r="AC314" s="11"/>
      <c r="AD314" s="6"/>
      <c r="AE314" s="38"/>
    </row>
    <row r="315" spans="1:31" ht="13.5" thickBot="1">
      <c r="A315" s="47"/>
      <c r="B315" s="50"/>
      <c r="H315" s="2"/>
      <c r="I315" s="48"/>
      <c r="J315" s="2"/>
      <c r="K315" s="27"/>
      <c r="L315" s="2"/>
      <c r="M315" s="2"/>
      <c r="N315" s="2"/>
      <c r="O315" s="2"/>
      <c r="P315" s="38"/>
      <c r="Q315" s="49"/>
      <c r="R315" s="50"/>
      <c r="W315" s="1"/>
      <c r="X315" s="38"/>
      <c r="Y315" s="2"/>
      <c r="Z315" s="27"/>
      <c r="AA315" s="2"/>
      <c r="AB315" s="2"/>
      <c r="AC315" s="2"/>
      <c r="AD315" s="2"/>
      <c r="AE315" s="38"/>
    </row>
    <row r="316" spans="1:31" ht="13.5" thickTop="1">
      <c r="A316" s="47"/>
      <c r="B316" s="48"/>
      <c r="C316" s="32"/>
      <c r="D316" s="32" t="s">
        <v>46</v>
      </c>
      <c r="E316" s="42"/>
      <c r="F316" s="32" t="s">
        <v>47</v>
      </c>
      <c r="G316" s="33"/>
      <c r="H316" s="2"/>
      <c r="I316" s="48"/>
      <c r="J316" s="2"/>
      <c r="K316" s="27"/>
      <c r="L316" s="2"/>
      <c r="M316" s="2"/>
      <c r="N316" s="2"/>
      <c r="O316" s="2"/>
      <c r="P316" s="38"/>
      <c r="Q316" s="49"/>
      <c r="R316" s="48"/>
      <c r="S316" s="32"/>
      <c r="T316" s="32" t="s">
        <v>46</v>
      </c>
      <c r="U316" s="42"/>
      <c r="V316" s="32" t="s">
        <v>47</v>
      </c>
      <c r="W316" s="33"/>
      <c r="X316" s="38"/>
      <c r="Y316" s="2"/>
      <c r="Z316" s="27"/>
      <c r="AA316" s="2"/>
      <c r="AB316" s="2"/>
      <c r="AC316" s="2"/>
      <c r="AD316" s="2"/>
      <c r="AE316" s="38"/>
    </row>
    <row r="317" spans="1:31">
      <c r="A317" s="47"/>
      <c r="B317" s="48"/>
      <c r="C317" s="61" t="s">
        <v>41</v>
      </c>
      <c r="D317" s="61"/>
      <c r="E317" s="60"/>
      <c r="F317" s="60"/>
      <c r="G317" s="62"/>
      <c r="H317" s="60"/>
      <c r="I317" s="60"/>
      <c r="J317" s="60"/>
      <c r="K317" s="63"/>
      <c r="L317" s="60"/>
      <c r="M317" s="60"/>
      <c r="N317" s="60"/>
      <c r="O317" s="60"/>
      <c r="P317" s="4"/>
      <c r="Q317" s="49"/>
      <c r="R317" s="48"/>
      <c r="S317" s="64" t="s">
        <v>41</v>
      </c>
      <c r="T317" s="64"/>
      <c r="U317" s="65"/>
      <c r="V317" s="65"/>
      <c r="W317" s="66"/>
      <c r="X317" s="65"/>
      <c r="Y317" s="65"/>
      <c r="Z317" s="67"/>
      <c r="AA317" s="65"/>
      <c r="AB317" s="65"/>
      <c r="AC317" s="65"/>
      <c r="AD317" s="65"/>
      <c r="AE317" s="4"/>
    </row>
    <row r="318" spans="1:31" ht="13.5" thickBot="1">
      <c r="A318" s="47"/>
      <c r="B318" s="48"/>
      <c r="C318" s="8" t="s">
        <v>36</v>
      </c>
      <c r="D318" s="8" t="s">
        <v>18</v>
      </c>
      <c r="E318" s="8" t="s">
        <v>14</v>
      </c>
      <c r="F318" s="8" t="s">
        <v>15</v>
      </c>
      <c r="G318" s="8" t="s">
        <v>16</v>
      </c>
      <c r="H318" s="2"/>
      <c r="I318" s="2"/>
      <c r="J318" s="2"/>
      <c r="K318" s="28" t="s">
        <v>17</v>
      </c>
      <c r="L318" s="9" t="s">
        <v>14</v>
      </c>
      <c r="M318" s="9" t="s">
        <v>15</v>
      </c>
      <c r="N318" s="9" t="s">
        <v>16</v>
      </c>
      <c r="O318" s="9" t="s">
        <v>19</v>
      </c>
      <c r="P318" s="4"/>
      <c r="Q318" s="49"/>
      <c r="R318" s="48"/>
      <c r="S318" s="8" t="s">
        <v>36</v>
      </c>
      <c r="T318" s="8" t="s">
        <v>18</v>
      </c>
      <c r="U318" s="8" t="s">
        <v>14</v>
      </c>
      <c r="V318" s="8" t="s">
        <v>15</v>
      </c>
      <c r="W318" s="8" t="s">
        <v>16</v>
      </c>
      <c r="X318" s="4"/>
      <c r="Y318" s="2"/>
      <c r="Z318" s="28" t="s">
        <v>17</v>
      </c>
      <c r="AA318" s="9" t="s">
        <v>14</v>
      </c>
      <c r="AB318" s="9" t="s">
        <v>15</v>
      </c>
      <c r="AC318" s="9" t="s">
        <v>16</v>
      </c>
      <c r="AD318" s="9" t="s">
        <v>19</v>
      </c>
      <c r="AE318" s="4"/>
    </row>
    <row r="319" spans="1:31" ht="14.25" thickTop="1" thickBot="1">
      <c r="A319" s="47"/>
      <c r="B319" s="50"/>
      <c r="C319" s="12"/>
      <c r="D319" s="12"/>
      <c r="E319" s="12"/>
      <c r="F319" s="12"/>
      <c r="G319" s="13"/>
      <c r="H319" s="18">
        <v>922689</v>
      </c>
      <c r="I319" s="51"/>
      <c r="J319" s="51"/>
      <c r="K319" s="29">
        <f>D319</f>
        <v>0</v>
      </c>
      <c r="L319" s="70">
        <f>E319</f>
        <v>0</v>
      </c>
      <c r="M319" s="17">
        <f>F319</f>
        <v>0</v>
      </c>
      <c r="N319" s="17">
        <f>G319</f>
        <v>0</v>
      </c>
      <c r="O319" s="20" t="e">
        <f>M320-M319</f>
        <v>#N/A</v>
      </c>
      <c r="P319" s="16"/>
      <c r="Q319" s="49"/>
      <c r="R319" s="50"/>
      <c r="S319" s="12"/>
      <c r="T319" s="12"/>
      <c r="U319" s="12"/>
      <c r="V319" s="12"/>
      <c r="W319" s="13"/>
      <c r="X319" s="16"/>
      <c r="Y319" s="6"/>
      <c r="Z319" s="29">
        <f>T319</f>
        <v>0</v>
      </c>
      <c r="AA319" s="70">
        <f>U319</f>
        <v>0</v>
      </c>
      <c r="AB319" s="17">
        <f>V319</f>
        <v>0</v>
      </c>
      <c r="AC319" s="17">
        <f>W319</f>
        <v>0</v>
      </c>
      <c r="AD319" s="20" t="e">
        <f>AB320-AB319</f>
        <v>#N/A</v>
      </c>
      <c r="AE319" s="16"/>
    </row>
    <row r="320" spans="1:31" ht="14.25" thickTop="1" thickBot="1">
      <c r="A320" s="47"/>
      <c r="B320" s="50"/>
      <c r="H320" s="18">
        <v>896047</v>
      </c>
      <c r="I320" s="51"/>
      <c r="J320" s="51"/>
      <c r="K320" s="30"/>
      <c r="L320" s="23" t="s">
        <v>20</v>
      </c>
      <c r="M320" s="3" t="e">
        <f>VLOOKUP($D319,$D336:$G350,3,FALSE)</f>
        <v>#N/A</v>
      </c>
      <c r="N320" s="17" t="e">
        <f>VLOOKUP($D$4,$D336:$G350,4,FALSE)</f>
        <v>#N/A</v>
      </c>
      <c r="O320" s="26" t="e">
        <f>N320-N319</f>
        <v>#N/A</v>
      </c>
      <c r="P320" s="16"/>
      <c r="Q320" s="49"/>
      <c r="R320" s="50"/>
      <c r="W320" s="1"/>
      <c r="X320" s="16"/>
      <c r="Y320" s="2"/>
      <c r="Z320" s="30"/>
      <c r="AA320" s="23" t="s">
        <v>20</v>
      </c>
      <c r="AB320" s="3" t="e">
        <f>VLOOKUP($T319,$T336:$W350,3,FALSE)</f>
        <v>#N/A</v>
      </c>
      <c r="AC320" s="17" t="e">
        <f>VLOOKUP($T319,$T336:$W350,4,FALSE)</f>
        <v>#N/A</v>
      </c>
      <c r="AD320" s="26" t="e">
        <f>AC320-AC319</f>
        <v>#N/A</v>
      </c>
      <c r="AE320" s="16"/>
    </row>
    <row r="321" spans="1:33" ht="14.25" thickTop="1" thickBot="1">
      <c r="A321" s="47"/>
      <c r="B321" s="50"/>
      <c r="H321" s="18">
        <v>588467</v>
      </c>
      <c r="I321" s="51"/>
      <c r="J321" s="51"/>
      <c r="K321" s="19">
        <f>D320</f>
        <v>0</v>
      </c>
      <c r="L321" s="70">
        <f>E320</f>
        <v>0</v>
      </c>
      <c r="M321" s="3">
        <f>F320</f>
        <v>0</v>
      </c>
      <c r="N321" s="17">
        <f>G320</f>
        <v>0</v>
      </c>
      <c r="O321" s="20" t="e">
        <f>M322-M321</f>
        <v>#N/A</v>
      </c>
      <c r="P321" s="16"/>
      <c r="Q321" s="49"/>
      <c r="R321" s="50"/>
      <c r="W321" s="1"/>
      <c r="X321" s="16"/>
      <c r="Y321" s="6"/>
      <c r="Z321" s="19">
        <f>T320</f>
        <v>0</v>
      </c>
      <c r="AA321" s="70">
        <f>U320</f>
        <v>0</v>
      </c>
      <c r="AB321" s="3">
        <f>V320</f>
        <v>0</v>
      </c>
      <c r="AC321" s="17">
        <f>W320</f>
        <v>0</v>
      </c>
      <c r="AD321" s="20" t="e">
        <f>AB322-AB321</f>
        <v>#N/A</v>
      </c>
      <c r="AE321" s="16"/>
      <c r="AG321" s="35"/>
    </row>
    <row r="322" spans="1:33" ht="14.25" thickTop="1" thickBot="1">
      <c r="A322" s="47"/>
      <c r="B322" s="50"/>
      <c r="H322" s="18">
        <v>600459</v>
      </c>
      <c r="I322" s="51"/>
      <c r="J322" s="51"/>
      <c r="K322" s="30"/>
      <c r="L322" s="23" t="s">
        <v>20</v>
      </c>
      <c r="M322" s="3" t="e">
        <f>VLOOKUP($D320,$D336:$G350,3,FALSE)</f>
        <v>#N/A</v>
      </c>
      <c r="N322" s="17" t="e">
        <f>VLOOKUP($D$5,$D336:$G350,4,FALSE)</f>
        <v>#N/A</v>
      </c>
      <c r="O322" s="26" t="e">
        <f>N322-N321</f>
        <v>#N/A</v>
      </c>
      <c r="P322" s="16"/>
      <c r="Q322" s="49"/>
      <c r="R322" s="50"/>
      <c r="W322" s="1"/>
      <c r="X322" s="16"/>
      <c r="Y322" s="2"/>
      <c r="Z322" s="30"/>
      <c r="AA322" s="23" t="s">
        <v>20</v>
      </c>
      <c r="AB322" s="3" t="e">
        <f>VLOOKUP($T320,$T336:$W350,3,FALSE)</f>
        <v>#N/A</v>
      </c>
      <c r="AC322" s="17" t="e">
        <f>VLOOKUP($T320,$T336:$W350,4,FALSE)</f>
        <v>#N/A</v>
      </c>
      <c r="AD322" s="26" t="e">
        <f>AC322-AC321</f>
        <v>#N/A</v>
      </c>
      <c r="AE322" s="16"/>
    </row>
    <row r="323" spans="1:33" ht="14.25" thickTop="1" thickBot="1">
      <c r="A323" s="47"/>
      <c r="B323" s="50"/>
      <c r="H323" s="18">
        <v>432716</v>
      </c>
      <c r="I323" s="51"/>
      <c r="J323" s="51"/>
      <c r="K323" s="19">
        <f>D321</f>
        <v>0</v>
      </c>
      <c r="L323" s="70">
        <f>E321</f>
        <v>0</v>
      </c>
      <c r="M323" s="3">
        <f>F321</f>
        <v>0</v>
      </c>
      <c r="N323" s="17">
        <f>G321</f>
        <v>0</v>
      </c>
      <c r="O323" s="20" t="e">
        <f>M324-M323</f>
        <v>#N/A</v>
      </c>
      <c r="P323" s="16"/>
      <c r="Q323" s="49"/>
      <c r="R323" s="50"/>
      <c r="W323" s="1"/>
      <c r="X323" s="16"/>
      <c r="Y323" s="6"/>
      <c r="Z323" s="19">
        <f>T321</f>
        <v>0</v>
      </c>
      <c r="AA323" s="70">
        <f>U321</f>
        <v>0</v>
      </c>
      <c r="AB323" s="3">
        <f>V321</f>
        <v>0</v>
      </c>
      <c r="AC323" s="17">
        <f>W321</f>
        <v>0</v>
      </c>
      <c r="AD323" s="20" t="e">
        <f>AB324-AB323</f>
        <v>#N/A</v>
      </c>
      <c r="AE323" s="16"/>
    </row>
    <row r="324" spans="1:33" ht="14.25" thickTop="1" thickBot="1">
      <c r="A324" s="47"/>
      <c r="B324" s="50"/>
      <c r="H324" s="18">
        <v>149538</v>
      </c>
      <c r="I324" s="51"/>
      <c r="J324" s="51"/>
      <c r="K324" s="30"/>
      <c r="L324" s="23" t="s">
        <v>20</v>
      </c>
      <c r="M324" s="3" t="e">
        <f>VLOOKUP($D321,$D336:$G350,3,FALSE)</f>
        <v>#N/A</v>
      </c>
      <c r="N324" s="17" t="e">
        <f>VLOOKUP($D321,$D336:$G350,4,FALSE)</f>
        <v>#N/A</v>
      </c>
      <c r="O324" s="26" t="e">
        <f>N324-N323</f>
        <v>#N/A</v>
      </c>
      <c r="P324" s="16"/>
      <c r="Q324" s="49"/>
      <c r="R324" s="50"/>
      <c r="W324" s="1"/>
      <c r="X324" s="16"/>
      <c r="Y324" s="2"/>
      <c r="Z324" s="30"/>
      <c r="AA324" s="23" t="s">
        <v>20</v>
      </c>
      <c r="AB324" s="3" t="e">
        <f>VLOOKUP($T321,$T336:$W350,3,FALSE)</f>
        <v>#N/A</v>
      </c>
      <c r="AC324" s="17" t="e">
        <f>VLOOKUP($T321,$T336:$W350,4,FALSE)</f>
        <v>#N/A</v>
      </c>
      <c r="AD324" s="26" t="e">
        <f>AC324-AC323</f>
        <v>#N/A</v>
      </c>
      <c r="AE324" s="16"/>
    </row>
    <row r="325" spans="1:33" ht="14.25" thickTop="1" thickBot="1">
      <c r="A325" s="47"/>
      <c r="B325" s="50"/>
      <c r="H325" s="18">
        <v>101933</v>
      </c>
      <c r="I325" s="51"/>
      <c r="J325" s="51"/>
      <c r="K325" s="19">
        <f>D322</f>
        <v>0</v>
      </c>
      <c r="L325" s="70">
        <f>E322</f>
        <v>0</v>
      </c>
      <c r="M325" s="3">
        <f>F322</f>
        <v>0</v>
      </c>
      <c r="N325" s="17">
        <f>G322</f>
        <v>0</v>
      </c>
      <c r="O325" s="20" t="e">
        <f>M326-M325</f>
        <v>#N/A</v>
      </c>
      <c r="P325" s="16"/>
      <c r="Q325" s="49"/>
      <c r="R325" s="50"/>
      <c r="W325" s="1"/>
      <c r="X325" s="16"/>
      <c r="Y325" s="6"/>
      <c r="Z325" s="19">
        <f>T322</f>
        <v>0</v>
      </c>
      <c r="AA325" s="70">
        <f>U322</f>
        <v>0</v>
      </c>
      <c r="AB325" s="3">
        <f>V322</f>
        <v>0</v>
      </c>
      <c r="AC325" s="17">
        <f>W322</f>
        <v>0</v>
      </c>
      <c r="AD325" s="20" t="e">
        <f>AB326-AB325</f>
        <v>#N/A</v>
      </c>
      <c r="AE325" s="16"/>
    </row>
    <row r="326" spans="1:33" ht="14.25" thickTop="1" thickBot="1">
      <c r="A326" s="47"/>
      <c r="B326" s="50"/>
      <c r="H326" s="18">
        <v>6850</v>
      </c>
      <c r="I326" s="51"/>
      <c r="J326" s="51"/>
      <c r="K326" s="30"/>
      <c r="L326" s="23" t="s">
        <v>20</v>
      </c>
      <c r="M326" s="3" t="e">
        <f>VLOOKUP($D322,$D336:$G350,3,FALSE)</f>
        <v>#N/A</v>
      </c>
      <c r="N326" s="17" t="e">
        <f>VLOOKUP($D322,$D336:$G350,4,FALSE)</f>
        <v>#N/A</v>
      </c>
      <c r="O326" s="26" t="e">
        <f>N326-N325</f>
        <v>#N/A</v>
      </c>
      <c r="P326" s="16"/>
      <c r="Q326" s="49"/>
      <c r="R326" s="50"/>
      <c r="W326" s="1"/>
      <c r="X326" s="16"/>
      <c r="Y326" s="2"/>
      <c r="Z326" s="30"/>
      <c r="AA326" s="23" t="s">
        <v>20</v>
      </c>
      <c r="AB326" s="3" t="e">
        <f>VLOOKUP($T322,$T336:$W350,3,FALSE)</f>
        <v>#N/A</v>
      </c>
      <c r="AC326" s="17" t="e">
        <f>VLOOKUP($T322,$T336:$W350,4,FALSE)</f>
        <v>#N/A</v>
      </c>
      <c r="AD326" s="26" t="e">
        <f>AC326-AC325</f>
        <v>#N/A</v>
      </c>
      <c r="AE326" s="16"/>
    </row>
    <row r="327" spans="1:33" ht="14.25" thickTop="1" thickBot="1">
      <c r="A327" s="47"/>
      <c r="B327" s="50"/>
      <c r="H327" s="18">
        <v>6165</v>
      </c>
      <c r="I327" s="51"/>
      <c r="J327" s="51"/>
      <c r="K327" s="29">
        <f>D323</f>
        <v>0</v>
      </c>
      <c r="L327" s="70">
        <f>E323</f>
        <v>0</v>
      </c>
      <c r="M327" s="3">
        <f>F323</f>
        <v>0</v>
      </c>
      <c r="N327" s="17">
        <f>G323</f>
        <v>0</v>
      </c>
      <c r="O327" s="20" t="e">
        <f>M328-M327</f>
        <v>#N/A</v>
      </c>
      <c r="P327" s="16"/>
      <c r="Q327" s="49"/>
      <c r="R327" s="50"/>
      <c r="W327" s="1"/>
      <c r="X327" s="16"/>
      <c r="Y327" s="6"/>
      <c r="Z327" s="29">
        <f>T323</f>
        <v>0</v>
      </c>
      <c r="AA327" s="70">
        <f>U323</f>
        <v>0</v>
      </c>
      <c r="AB327" s="3">
        <f>V323</f>
        <v>0</v>
      </c>
      <c r="AC327" s="17">
        <f>W323</f>
        <v>0</v>
      </c>
      <c r="AD327" s="20" t="e">
        <f>AB328-AB327</f>
        <v>#N/A</v>
      </c>
      <c r="AE327" s="16"/>
    </row>
    <row r="328" spans="1:33" ht="14.25" thickTop="1" thickBot="1">
      <c r="A328" s="47"/>
      <c r="B328" s="50"/>
      <c r="H328" s="18">
        <v>6010</v>
      </c>
      <c r="I328" s="51"/>
      <c r="J328" s="51"/>
      <c r="K328" s="30"/>
      <c r="L328" s="23" t="s">
        <v>20</v>
      </c>
      <c r="M328" s="3" t="e">
        <f>VLOOKUP($D323,$D336:$G350,3,FALSE)</f>
        <v>#N/A</v>
      </c>
      <c r="N328" s="17" t="e">
        <f>VLOOKUP($D323,$D336:$G350,4,FALSE)</f>
        <v>#N/A</v>
      </c>
      <c r="O328" s="26" t="e">
        <f>N328-N327</f>
        <v>#N/A</v>
      </c>
      <c r="P328" s="16"/>
      <c r="Q328" s="49"/>
      <c r="R328" s="50"/>
      <c r="W328" s="1"/>
      <c r="X328" s="16"/>
      <c r="Y328" s="2"/>
      <c r="Z328" s="30"/>
      <c r="AA328" s="23" t="s">
        <v>20</v>
      </c>
      <c r="AB328" s="3" t="e">
        <f>VLOOKUP($T323,$T336:$W350,3,FALSE)</f>
        <v>#N/A</v>
      </c>
      <c r="AC328" s="17" t="e">
        <f>VLOOKUP($T323,$T336:$W350,4,FALSE)</f>
        <v>#N/A</v>
      </c>
      <c r="AD328" s="26" t="e">
        <f>AC328-AC327</f>
        <v>#N/A</v>
      </c>
      <c r="AE328" s="16"/>
    </row>
    <row r="329" spans="1:33" ht="14.25" thickTop="1" thickBot="1">
      <c r="A329" s="47"/>
      <c r="B329" s="50"/>
      <c r="H329" s="2"/>
      <c r="I329" s="51"/>
      <c r="J329" s="51"/>
      <c r="K329" s="19">
        <f>D324</f>
        <v>0</v>
      </c>
      <c r="L329" s="70">
        <f>E324</f>
        <v>0</v>
      </c>
      <c r="M329" s="3">
        <f>F324</f>
        <v>0</v>
      </c>
      <c r="N329" s="17">
        <f>G324</f>
        <v>0</v>
      </c>
      <c r="O329" s="20" t="e">
        <f>M330-M329</f>
        <v>#N/A</v>
      </c>
      <c r="P329" s="16"/>
      <c r="Q329" s="49"/>
      <c r="R329" s="50"/>
      <c r="W329" s="1"/>
      <c r="X329" s="16"/>
      <c r="Y329" s="6"/>
      <c r="Z329" s="19">
        <f>T324</f>
        <v>0</v>
      </c>
      <c r="AA329" s="70">
        <f>U324</f>
        <v>0</v>
      </c>
      <c r="AB329" s="3">
        <f>V324</f>
        <v>0</v>
      </c>
      <c r="AC329" s="17">
        <f>W324</f>
        <v>0</v>
      </c>
      <c r="AD329" s="20" t="e">
        <f>AB330-AB329</f>
        <v>#N/A</v>
      </c>
      <c r="AE329" s="16"/>
    </row>
    <row r="330" spans="1:33" ht="14.25" thickTop="1" thickBot="1">
      <c r="A330" s="47"/>
      <c r="B330" s="50"/>
      <c r="H330" s="2"/>
      <c r="I330" s="51"/>
      <c r="J330" s="51"/>
      <c r="K330" s="30"/>
      <c r="L330" s="23" t="s">
        <v>20</v>
      </c>
      <c r="M330" s="3" t="e">
        <f>VLOOKUP($D324,$D336:$G350,3,FALSE)</f>
        <v>#N/A</v>
      </c>
      <c r="N330" s="17" t="e">
        <f>VLOOKUP($D324,$D336:$G350,4,FALSE)</f>
        <v>#N/A</v>
      </c>
      <c r="O330" s="26" t="e">
        <f>N330-N329</f>
        <v>#N/A</v>
      </c>
      <c r="P330" s="16"/>
      <c r="Q330" s="49"/>
      <c r="R330" s="50"/>
      <c r="W330" s="1"/>
      <c r="X330" s="16"/>
      <c r="Y330" s="2"/>
      <c r="Z330" s="30"/>
      <c r="AA330" s="23" t="s">
        <v>20</v>
      </c>
      <c r="AB330" s="3" t="e">
        <f>VLOOKUP($T324,$T336:$W350,3,FALSE)</f>
        <v>#N/A</v>
      </c>
      <c r="AC330" s="17" t="e">
        <f>VLOOKUP($T324,$T336:$W350,4,FALSE)</f>
        <v>#N/A</v>
      </c>
      <c r="AD330" s="26" t="e">
        <f>AC330-AC329</f>
        <v>#N/A</v>
      </c>
      <c r="AE330" s="16"/>
    </row>
    <row r="331" spans="1:33" ht="14.25" thickTop="1" thickBot="1">
      <c r="A331" s="47"/>
      <c r="B331" s="50"/>
      <c r="H331" s="2"/>
      <c r="I331" s="51"/>
      <c r="J331" s="51"/>
      <c r="K331" s="19">
        <f>D325</f>
        <v>0</v>
      </c>
      <c r="L331" s="70">
        <f>E325</f>
        <v>0</v>
      </c>
      <c r="M331" s="3">
        <f>F325</f>
        <v>0</v>
      </c>
      <c r="N331" s="17">
        <f>G325</f>
        <v>0</v>
      </c>
      <c r="O331" s="20" t="e">
        <f>M332-M331</f>
        <v>#N/A</v>
      </c>
      <c r="P331" s="16"/>
      <c r="Q331" s="49"/>
      <c r="R331" s="50"/>
      <c r="W331" s="1"/>
      <c r="X331" s="16"/>
      <c r="Y331" s="6"/>
      <c r="Z331" s="19">
        <f>T325</f>
        <v>0</v>
      </c>
      <c r="AA331" s="70">
        <f>U325</f>
        <v>0</v>
      </c>
      <c r="AB331" s="3">
        <f>V325</f>
        <v>0</v>
      </c>
      <c r="AC331" s="17">
        <f>W325</f>
        <v>0</v>
      </c>
      <c r="AD331" s="20" t="e">
        <f>AB332-AB331</f>
        <v>#N/A</v>
      </c>
      <c r="AE331" s="16"/>
    </row>
    <row r="332" spans="1:33" ht="14.25" thickTop="1" thickBot="1">
      <c r="A332" s="47"/>
      <c r="B332" s="50"/>
      <c r="H332" s="2"/>
      <c r="I332" s="51"/>
      <c r="J332" s="51"/>
      <c r="K332" s="30"/>
      <c r="L332" s="23" t="s">
        <v>20</v>
      </c>
      <c r="M332" s="3" t="e">
        <f>VLOOKUP($D325,$D336:$G350,3,FALSE)</f>
        <v>#N/A</v>
      </c>
      <c r="N332" s="17" t="e">
        <f>VLOOKUP($D325,$D336:$G350,4,FALSE)</f>
        <v>#N/A</v>
      </c>
      <c r="O332" s="26" t="e">
        <f>N332-N331</f>
        <v>#N/A</v>
      </c>
      <c r="P332" s="16"/>
      <c r="Q332" s="49"/>
      <c r="R332" s="50"/>
      <c r="W332" s="1"/>
      <c r="X332" s="16"/>
      <c r="Y332" s="2"/>
      <c r="Z332" s="30"/>
      <c r="AA332" s="23" t="s">
        <v>20</v>
      </c>
      <c r="AB332" s="3" t="e">
        <f>VLOOKUP($T325,$T336:$W350,3,FALSE)</f>
        <v>#N/A</v>
      </c>
      <c r="AC332" s="17" t="e">
        <f>VLOOKUP($T325,$T336:$W350,4,FALSE)</f>
        <v>#N/A</v>
      </c>
      <c r="AD332" s="26" t="e">
        <f>AC332-AC331</f>
        <v>#N/A</v>
      </c>
      <c r="AE332" s="16"/>
    </row>
    <row r="333" spans="1:33" ht="14.25" thickTop="1" thickBot="1">
      <c r="A333" s="47"/>
      <c r="B333" s="50"/>
      <c r="H333" s="2"/>
      <c r="I333" s="51"/>
      <c r="J333" s="51"/>
      <c r="K333" s="19">
        <f>D326</f>
        <v>0</v>
      </c>
      <c r="L333" s="70">
        <f>E326</f>
        <v>0</v>
      </c>
      <c r="M333" s="21">
        <f>F326</f>
        <v>0</v>
      </c>
      <c r="N333" s="22">
        <f>G326</f>
        <v>0</v>
      </c>
      <c r="O333" s="20" t="e">
        <f>M334-M333</f>
        <v>#N/A</v>
      </c>
      <c r="P333" s="16"/>
      <c r="Q333" s="49"/>
      <c r="R333" s="50"/>
      <c r="W333" s="1"/>
      <c r="X333" s="16"/>
      <c r="Y333" s="6"/>
      <c r="Z333" s="19">
        <f>T326</f>
        <v>0</v>
      </c>
      <c r="AA333" s="70">
        <f>U326</f>
        <v>0</v>
      </c>
      <c r="AB333" s="21">
        <f>V326</f>
        <v>0</v>
      </c>
      <c r="AC333" s="22">
        <f>W326</f>
        <v>0</v>
      </c>
      <c r="AD333" s="20" t="e">
        <f>AB334-AB333</f>
        <v>#N/A</v>
      </c>
      <c r="AE333" s="16"/>
    </row>
    <row r="334" spans="1:33" ht="14.25" thickTop="1" thickBot="1">
      <c r="A334" s="47"/>
      <c r="B334" s="48"/>
      <c r="C334" s="32"/>
      <c r="D334" s="32" t="s">
        <v>46</v>
      </c>
      <c r="E334" s="42"/>
      <c r="F334" s="32" t="s">
        <v>47</v>
      </c>
      <c r="G334" s="33"/>
      <c r="H334" s="2"/>
      <c r="I334" s="51"/>
      <c r="J334" s="51"/>
      <c r="K334" s="30"/>
      <c r="L334" s="23" t="s">
        <v>20</v>
      </c>
      <c r="M334" s="3" t="e">
        <f>VLOOKUP($D326,$D336:$G350,3,FALSE)</f>
        <v>#N/A</v>
      </c>
      <c r="N334" s="17" t="e">
        <f>VLOOKUP($D326,$D336:$G350,4,FALSE)</f>
        <v>#N/A</v>
      </c>
      <c r="O334" s="26" t="e">
        <f>N334-N333</f>
        <v>#N/A</v>
      </c>
      <c r="P334" s="16"/>
      <c r="Q334" s="49"/>
      <c r="R334" s="48"/>
      <c r="S334" s="32"/>
      <c r="T334" s="32" t="s">
        <v>46</v>
      </c>
      <c r="U334" s="42"/>
      <c r="V334" s="32" t="s">
        <v>47</v>
      </c>
      <c r="W334" s="33"/>
      <c r="X334" s="16"/>
      <c r="Y334" s="2"/>
      <c r="Z334" s="30"/>
      <c r="AA334" s="23" t="s">
        <v>20</v>
      </c>
      <c r="AB334" s="3" t="e">
        <f>VLOOKUP($T326,$T336:$W350,3,FALSE)</f>
        <v>#N/A</v>
      </c>
      <c r="AC334" s="17" t="e">
        <f>VLOOKUP($T326,$T336:$W350,4,FALSE)</f>
        <v>#N/A</v>
      </c>
      <c r="AD334" s="26" t="e">
        <f>AC334-AC333</f>
        <v>#N/A</v>
      </c>
      <c r="AE334" s="16"/>
    </row>
    <row r="335" spans="1:33" ht="14.25" thickTop="1" thickBot="1">
      <c r="A335" s="47"/>
      <c r="B335" s="51"/>
      <c r="C335" s="8" t="s">
        <v>36</v>
      </c>
      <c r="D335" s="8" t="s">
        <v>18</v>
      </c>
      <c r="E335" s="8" t="s">
        <v>14</v>
      </c>
      <c r="F335" s="8" t="s">
        <v>15</v>
      </c>
      <c r="G335" s="8" t="s">
        <v>16</v>
      </c>
      <c r="H335" s="2"/>
      <c r="I335" s="51"/>
      <c r="J335" s="51"/>
      <c r="K335" s="29">
        <f>D327</f>
        <v>0</v>
      </c>
      <c r="L335" s="70">
        <f>E327</f>
        <v>0</v>
      </c>
      <c r="M335" s="3">
        <f>F327</f>
        <v>0</v>
      </c>
      <c r="N335" s="17">
        <f>G327</f>
        <v>0</v>
      </c>
      <c r="O335" s="20" t="e">
        <f>M336-M335</f>
        <v>#N/A</v>
      </c>
      <c r="P335" s="16"/>
      <c r="Q335" s="49"/>
      <c r="R335" s="51"/>
      <c r="S335" s="8" t="s">
        <v>36</v>
      </c>
      <c r="T335" s="8" t="s">
        <v>18</v>
      </c>
      <c r="U335" s="8" t="s">
        <v>14</v>
      </c>
      <c r="V335" s="8" t="s">
        <v>15</v>
      </c>
      <c r="W335" s="8" t="s">
        <v>16</v>
      </c>
      <c r="X335" s="16"/>
      <c r="Y335" s="6"/>
      <c r="Z335" s="29">
        <f>T327</f>
        <v>0</v>
      </c>
      <c r="AA335" s="70">
        <f>U327</f>
        <v>0</v>
      </c>
      <c r="AB335" s="3">
        <f>V327</f>
        <v>0</v>
      </c>
      <c r="AC335" s="17">
        <f>W327</f>
        <v>0</v>
      </c>
      <c r="AD335" s="20" t="e">
        <f>AB336-AB335</f>
        <v>#N/A</v>
      </c>
      <c r="AE335" s="16"/>
    </row>
    <row r="336" spans="1:33" ht="14.25" thickTop="1" thickBot="1">
      <c r="A336" s="47"/>
      <c r="B336" s="50"/>
      <c r="C336" s="12"/>
      <c r="D336" s="12"/>
      <c r="E336" s="12"/>
      <c r="F336" s="12"/>
      <c r="G336" s="13"/>
      <c r="H336" s="2"/>
      <c r="I336" s="51"/>
      <c r="J336" s="51"/>
      <c r="K336" s="30"/>
      <c r="L336" s="23" t="s">
        <v>20</v>
      </c>
      <c r="M336" s="3" t="e">
        <f>VLOOKUP($D327,$D336:$G350,3,FALSE)</f>
        <v>#N/A</v>
      </c>
      <c r="N336" s="17" t="e">
        <f>VLOOKUP($D327,$D336:$G350,4,FALSE)</f>
        <v>#N/A</v>
      </c>
      <c r="O336" s="26" t="e">
        <f>N336-N335</f>
        <v>#N/A</v>
      </c>
      <c r="P336" s="16"/>
      <c r="Q336" s="49"/>
      <c r="R336" s="50"/>
      <c r="S336" s="12"/>
      <c r="T336" s="12"/>
      <c r="U336" s="12"/>
      <c r="V336" s="12"/>
      <c r="W336" s="13"/>
      <c r="X336" s="16"/>
      <c r="Y336" s="2"/>
      <c r="Z336" s="30"/>
      <c r="AA336" s="23" t="s">
        <v>20</v>
      </c>
      <c r="AB336" s="3" t="e">
        <f>VLOOKUP($T327,$T336:$W350,3,FALSE)</f>
        <v>#N/A</v>
      </c>
      <c r="AC336" s="17" t="e">
        <f>VLOOKUP($T327,$T336:$W350,4,FALSE)</f>
        <v>#N/A</v>
      </c>
      <c r="AD336" s="26" t="e">
        <f>AC336-AC335</f>
        <v>#N/A</v>
      </c>
      <c r="AE336" s="16"/>
    </row>
    <row r="337" spans="1:31" ht="14.25" thickTop="1" thickBot="1">
      <c r="A337" s="47"/>
      <c r="B337" s="50"/>
      <c r="H337" s="2"/>
      <c r="I337" s="51"/>
      <c r="J337" s="51"/>
      <c r="K337" s="19">
        <f>D328</f>
        <v>0</v>
      </c>
      <c r="L337" s="70">
        <f>E328</f>
        <v>0</v>
      </c>
      <c r="M337" s="3">
        <f>F328</f>
        <v>0</v>
      </c>
      <c r="N337" s="17">
        <f>G328</f>
        <v>0</v>
      </c>
      <c r="O337" s="20" t="e">
        <f>M338-M337</f>
        <v>#N/A</v>
      </c>
      <c r="P337" s="16"/>
      <c r="Q337" s="49"/>
      <c r="R337" s="50"/>
      <c r="W337" s="1"/>
      <c r="X337" s="16"/>
      <c r="Y337" s="6"/>
      <c r="Z337" s="19">
        <f>T328</f>
        <v>0</v>
      </c>
      <c r="AA337" s="70">
        <f>U328</f>
        <v>0</v>
      </c>
      <c r="AB337" s="3">
        <f>V328</f>
        <v>0</v>
      </c>
      <c r="AC337" s="17">
        <f>W328</f>
        <v>0</v>
      </c>
      <c r="AD337" s="20" t="e">
        <f>AB338-AB337</f>
        <v>#N/A</v>
      </c>
      <c r="AE337" s="16"/>
    </row>
    <row r="338" spans="1:31" ht="14.25" thickTop="1" thickBot="1">
      <c r="A338" s="47"/>
      <c r="B338" s="50"/>
      <c r="H338" s="2"/>
      <c r="I338" s="51"/>
      <c r="J338" s="51"/>
      <c r="K338" s="30"/>
      <c r="L338" s="23" t="s">
        <v>20</v>
      </c>
      <c r="M338" s="3" t="e">
        <f>VLOOKUP($D328,$D336:$G350,3,FALSE)</f>
        <v>#N/A</v>
      </c>
      <c r="N338" s="17" t="e">
        <f>VLOOKUP($D328,$D336:$G350,4,FALSE)</f>
        <v>#N/A</v>
      </c>
      <c r="O338" s="26" t="e">
        <f>N338-N337</f>
        <v>#N/A</v>
      </c>
      <c r="P338" s="16"/>
      <c r="Q338" s="49"/>
      <c r="R338" s="50"/>
      <c r="W338" s="1"/>
      <c r="X338" s="16"/>
      <c r="Y338" s="2"/>
      <c r="Z338" s="30"/>
      <c r="AA338" s="23" t="s">
        <v>20</v>
      </c>
      <c r="AB338" s="3" t="e">
        <f>VLOOKUP($T328,$T336:$W350,3,FALSE)</f>
        <v>#N/A</v>
      </c>
      <c r="AC338" s="17" t="e">
        <f>VLOOKUP($T328,$T336:$W350,4,FALSE)</f>
        <v>#N/A</v>
      </c>
      <c r="AD338" s="26" t="e">
        <f>AC338-AC337</f>
        <v>#N/A</v>
      </c>
      <c r="AE338" s="16"/>
    </row>
    <row r="339" spans="1:31" ht="14.25" thickTop="1" thickBot="1">
      <c r="A339" s="47"/>
      <c r="B339" s="50"/>
      <c r="H339" s="2"/>
      <c r="I339" s="51"/>
      <c r="J339" s="51"/>
      <c r="K339" s="19">
        <f>D329</f>
        <v>0</v>
      </c>
      <c r="L339" s="70">
        <f>E329</f>
        <v>0</v>
      </c>
      <c r="M339" s="3">
        <f>F329</f>
        <v>0</v>
      </c>
      <c r="N339" s="17">
        <f>G329</f>
        <v>0</v>
      </c>
      <c r="O339" s="20" t="e">
        <f>M340-M339</f>
        <v>#N/A</v>
      </c>
      <c r="P339" s="16"/>
      <c r="Q339" s="49"/>
      <c r="R339" s="50"/>
      <c r="W339" s="1"/>
      <c r="X339" s="16"/>
      <c r="Y339" s="6"/>
      <c r="Z339" s="19">
        <f>T329</f>
        <v>0</v>
      </c>
      <c r="AA339" s="70">
        <f>U329</f>
        <v>0</v>
      </c>
      <c r="AB339" s="3">
        <f>V329</f>
        <v>0</v>
      </c>
      <c r="AC339" s="17">
        <f>W329</f>
        <v>0</v>
      </c>
      <c r="AD339" s="20" t="e">
        <f>AB340-AB339</f>
        <v>#N/A</v>
      </c>
      <c r="AE339" s="16"/>
    </row>
    <row r="340" spans="1:31" ht="14.25" thickTop="1" thickBot="1">
      <c r="A340" s="47"/>
      <c r="B340" s="50"/>
      <c r="H340" s="2"/>
      <c r="I340" s="51"/>
      <c r="J340" s="51"/>
      <c r="K340" s="30"/>
      <c r="L340" s="23" t="s">
        <v>20</v>
      </c>
      <c r="M340" s="3" t="e">
        <f>VLOOKUP($D329,$D336:$G350,3,FALSE)</f>
        <v>#N/A</v>
      </c>
      <c r="N340" s="17" t="e">
        <f>VLOOKUP($D329,$D336:$G350,4,FALSE)</f>
        <v>#N/A</v>
      </c>
      <c r="O340" s="26" t="e">
        <f>N340-N339</f>
        <v>#N/A</v>
      </c>
      <c r="P340" s="16"/>
      <c r="Q340" s="49"/>
      <c r="R340" s="50"/>
      <c r="W340" s="1"/>
      <c r="X340" s="16"/>
      <c r="Y340" s="2"/>
      <c r="Z340" s="30"/>
      <c r="AA340" s="23" t="s">
        <v>20</v>
      </c>
      <c r="AB340" s="3" t="e">
        <f>VLOOKUP($T329,$T336:$W350,3,FALSE)</f>
        <v>#N/A</v>
      </c>
      <c r="AC340" s="17" t="e">
        <f>VLOOKUP($T329,$T336:$W350,4,FALSE)</f>
        <v>#N/A</v>
      </c>
      <c r="AD340" s="26" t="e">
        <f>AC340-AC339</f>
        <v>#N/A</v>
      </c>
      <c r="AE340" s="16"/>
    </row>
    <row r="341" spans="1:31" ht="14.25" thickTop="1" thickBot="1">
      <c r="A341" s="47"/>
      <c r="B341" s="50"/>
      <c r="H341" s="2"/>
      <c r="I341" s="51"/>
      <c r="J341" s="51"/>
      <c r="K341" s="19">
        <f>D330</f>
        <v>0</v>
      </c>
      <c r="L341" s="70">
        <f>E330</f>
        <v>0</v>
      </c>
      <c r="M341" s="3">
        <f>F330</f>
        <v>0</v>
      </c>
      <c r="N341" s="17">
        <f>G330</f>
        <v>0</v>
      </c>
      <c r="O341" s="20" t="e">
        <f>M342-M341</f>
        <v>#N/A</v>
      </c>
      <c r="P341" s="16"/>
      <c r="Q341" s="49"/>
      <c r="R341" s="50"/>
      <c r="W341" s="1"/>
      <c r="X341" s="16"/>
      <c r="Y341" s="6"/>
      <c r="Z341" s="19">
        <f>T330</f>
        <v>0</v>
      </c>
      <c r="AA341" s="70">
        <f>U330</f>
        <v>0</v>
      </c>
      <c r="AB341" s="3">
        <f>V330</f>
        <v>0</v>
      </c>
      <c r="AC341" s="17">
        <f>W330</f>
        <v>0</v>
      </c>
      <c r="AD341" s="20" t="e">
        <f>AB342-AB341</f>
        <v>#N/A</v>
      </c>
      <c r="AE341" s="16"/>
    </row>
    <row r="342" spans="1:31" ht="14.25" thickTop="1" thickBot="1">
      <c r="A342" s="47"/>
      <c r="B342" s="50"/>
      <c r="H342" s="2"/>
      <c r="I342" s="51"/>
      <c r="J342" s="51"/>
      <c r="K342" s="30"/>
      <c r="L342" s="23" t="s">
        <v>20</v>
      </c>
      <c r="M342" s="3" t="e">
        <f>VLOOKUP($D330,$D336:$G350,3,FALSE)</f>
        <v>#N/A</v>
      </c>
      <c r="N342" s="17" t="e">
        <f>VLOOKUP($D330,$D336:$G350,4,FALSE)</f>
        <v>#N/A</v>
      </c>
      <c r="O342" s="26" t="e">
        <f>N342-N341</f>
        <v>#N/A</v>
      </c>
      <c r="P342" s="16"/>
      <c r="Q342" s="49"/>
      <c r="R342" s="50"/>
      <c r="W342" s="1"/>
      <c r="X342" s="16"/>
      <c r="Y342" s="2"/>
      <c r="Z342" s="30"/>
      <c r="AA342" s="23" t="s">
        <v>20</v>
      </c>
      <c r="AB342" s="3" t="e">
        <f>VLOOKUP($T330,$T336:$W350,3,FALSE)</f>
        <v>#N/A</v>
      </c>
      <c r="AC342" s="17" t="e">
        <f>VLOOKUP($T330,$T336:$W350,4,FALSE)</f>
        <v>#N/A</v>
      </c>
      <c r="AD342" s="26" t="e">
        <f>AC342-AC341</f>
        <v>#N/A</v>
      </c>
      <c r="AE342" s="16"/>
    </row>
    <row r="343" spans="1:31" ht="14.25" thickTop="1" thickBot="1">
      <c r="A343" s="47"/>
      <c r="B343" s="50"/>
      <c r="H343" s="2"/>
      <c r="I343" s="51"/>
      <c r="J343" s="51"/>
      <c r="K343" s="29">
        <f>D331</f>
        <v>0</v>
      </c>
      <c r="L343" s="70">
        <f>E331</f>
        <v>0</v>
      </c>
      <c r="M343" s="3">
        <f>F331</f>
        <v>0</v>
      </c>
      <c r="N343" s="17">
        <f>G331</f>
        <v>0</v>
      </c>
      <c r="O343" s="20" t="e">
        <f>M344-M343</f>
        <v>#N/A</v>
      </c>
      <c r="P343" s="16"/>
      <c r="Q343" s="49"/>
      <c r="R343" s="50"/>
      <c r="W343" s="1"/>
      <c r="X343" s="16"/>
      <c r="Y343" s="6"/>
      <c r="Z343" s="29">
        <f>T331</f>
        <v>0</v>
      </c>
      <c r="AA343" s="70">
        <f>U331</f>
        <v>0</v>
      </c>
      <c r="AB343" s="3">
        <f>V331</f>
        <v>0</v>
      </c>
      <c r="AC343" s="17">
        <f>W331</f>
        <v>0</v>
      </c>
      <c r="AD343" s="20" t="e">
        <f>AB344-AB343</f>
        <v>#N/A</v>
      </c>
      <c r="AE343" s="16"/>
    </row>
    <row r="344" spans="1:31" ht="14.25" thickTop="1" thickBot="1">
      <c r="A344" s="47"/>
      <c r="B344" s="50"/>
      <c r="H344" s="2"/>
      <c r="I344" s="51"/>
      <c r="J344" s="51"/>
      <c r="K344" s="30"/>
      <c r="L344" s="23" t="s">
        <v>20</v>
      </c>
      <c r="M344" s="3" t="e">
        <f>VLOOKUP($D331,$D336:$G350,3,FALSE)</f>
        <v>#N/A</v>
      </c>
      <c r="N344" s="17" t="e">
        <f>VLOOKUP($D331,$D336:$G350,4,FALSE)</f>
        <v>#N/A</v>
      </c>
      <c r="O344" s="26" t="e">
        <f>N344-N343</f>
        <v>#N/A</v>
      </c>
      <c r="P344" s="16"/>
      <c r="Q344" s="49"/>
      <c r="R344" s="50"/>
      <c r="W344" s="1"/>
      <c r="X344" s="16"/>
      <c r="Y344" s="2"/>
      <c r="Z344" s="30"/>
      <c r="AA344" s="23" t="s">
        <v>20</v>
      </c>
      <c r="AB344" s="3" t="e">
        <f>VLOOKUP($T331,$T336:$W350,3,FALSE)</f>
        <v>#N/A</v>
      </c>
      <c r="AC344" s="17" t="e">
        <f>VLOOKUP($T331,$T336:$W350,4,FALSE)</f>
        <v>#N/A</v>
      </c>
      <c r="AD344" s="26" t="e">
        <f>AC344-AC343</f>
        <v>#N/A</v>
      </c>
      <c r="AE344" s="16"/>
    </row>
    <row r="345" spans="1:31" ht="14.25" thickTop="1" thickBot="1">
      <c r="A345" s="47"/>
      <c r="B345" s="50"/>
      <c r="H345" s="2"/>
      <c r="I345" s="51"/>
      <c r="J345" s="51"/>
      <c r="K345" s="19">
        <f>D332</f>
        <v>0</v>
      </c>
      <c r="L345" s="70">
        <f>E332</f>
        <v>0</v>
      </c>
      <c r="M345" s="3">
        <f>F332</f>
        <v>0</v>
      </c>
      <c r="N345" s="17">
        <f>G332</f>
        <v>0</v>
      </c>
      <c r="O345" s="20" t="e">
        <f>M346-M345</f>
        <v>#N/A</v>
      </c>
      <c r="P345" s="16"/>
      <c r="Q345" s="49"/>
      <c r="R345" s="50"/>
      <c r="W345" s="1"/>
      <c r="X345" s="16"/>
      <c r="Y345" s="6"/>
      <c r="Z345" s="19">
        <f>T332</f>
        <v>0</v>
      </c>
      <c r="AA345" s="70">
        <f>U332</f>
        <v>0</v>
      </c>
      <c r="AB345" s="3">
        <f>V332</f>
        <v>0</v>
      </c>
      <c r="AC345" s="17">
        <f>W332</f>
        <v>0</v>
      </c>
      <c r="AD345" s="20" t="e">
        <f>AB346-AB345</f>
        <v>#N/A</v>
      </c>
      <c r="AE345" s="16"/>
    </row>
    <row r="346" spans="1:31" ht="14.25" thickTop="1" thickBot="1">
      <c r="A346" s="47"/>
      <c r="B346" s="50"/>
      <c r="H346" s="2"/>
      <c r="I346" s="51"/>
      <c r="J346" s="51"/>
      <c r="K346" s="30"/>
      <c r="L346" s="23" t="s">
        <v>20</v>
      </c>
      <c r="M346" s="3" t="e">
        <f>VLOOKUP($D332,$D336:$G350,3,FALSE)</f>
        <v>#N/A</v>
      </c>
      <c r="N346" s="17" t="e">
        <f>VLOOKUP($D332,$D336:$G350,4,FALSE)</f>
        <v>#N/A</v>
      </c>
      <c r="O346" s="26" t="e">
        <f>N346-N345</f>
        <v>#N/A</v>
      </c>
      <c r="P346" s="16"/>
      <c r="Q346" s="49"/>
      <c r="R346" s="50"/>
      <c r="W346" s="1"/>
      <c r="X346" s="16"/>
      <c r="Y346" s="2"/>
      <c r="Z346" s="30"/>
      <c r="AA346" s="23" t="s">
        <v>20</v>
      </c>
      <c r="AB346" s="3" t="e">
        <f>VLOOKUP($T332,$T336:$W350,3,FALSE)</f>
        <v>#N/A</v>
      </c>
      <c r="AC346" s="17" t="e">
        <f>VLOOKUP($T332,$T336:$W350,4,FALSE)</f>
        <v>#N/A</v>
      </c>
      <c r="AD346" s="26" t="e">
        <f>AC346-AC345</f>
        <v>#N/A</v>
      </c>
      <c r="AE346" s="16"/>
    </row>
    <row r="347" spans="1:31" ht="14.25" thickTop="1" thickBot="1">
      <c r="A347" s="47"/>
      <c r="B347" s="50"/>
      <c r="H347" s="2"/>
      <c r="I347" s="51"/>
      <c r="J347" s="51"/>
      <c r="K347" s="19">
        <f>D333</f>
        <v>0</v>
      </c>
      <c r="L347" s="70">
        <f>E333</f>
        <v>0</v>
      </c>
      <c r="M347" s="3">
        <f>F333</f>
        <v>0</v>
      </c>
      <c r="N347" s="17">
        <f>G333</f>
        <v>0</v>
      </c>
      <c r="O347" s="20" t="e">
        <f>M348-M347</f>
        <v>#N/A</v>
      </c>
      <c r="P347" s="16"/>
      <c r="Q347" s="49"/>
      <c r="R347" s="50"/>
      <c r="W347" s="1"/>
      <c r="X347" s="16"/>
      <c r="Y347" s="6"/>
      <c r="Z347" s="19">
        <f>T333</f>
        <v>0</v>
      </c>
      <c r="AA347" s="70">
        <f>U333</f>
        <v>0</v>
      </c>
      <c r="AB347" s="3">
        <f>V333</f>
        <v>0</v>
      </c>
      <c r="AC347" s="17">
        <f>W333</f>
        <v>0</v>
      </c>
      <c r="AD347" s="20" t="e">
        <f>AB348-AB347</f>
        <v>#N/A</v>
      </c>
      <c r="AE347" s="16"/>
    </row>
    <row r="348" spans="1:31" ht="14.25" thickTop="1" thickBot="1">
      <c r="A348" s="47"/>
      <c r="B348" s="50"/>
      <c r="H348" s="2"/>
      <c r="I348" s="51"/>
      <c r="J348" s="51"/>
      <c r="K348" s="30"/>
      <c r="L348" s="24" t="s">
        <v>20</v>
      </c>
      <c r="M348" s="3" t="e">
        <f>VLOOKUP($D333,$D336:$G350,3,FALSE)</f>
        <v>#N/A</v>
      </c>
      <c r="N348" s="17" t="e">
        <f>VLOOKUP($D333,$D336:$G350,4,FALSE)</f>
        <v>#N/A</v>
      </c>
      <c r="O348" s="25" t="e">
        <f>N348-N347</f>
        <v>#N/A</v>
      </c>
      <c r="P348" s="38"/>
      <c r="Q348" s="49"/>
      <c r="R348" s="50"/>
      <c r="W348" s="1"/>
      <c r="X348" s="38"/>
      <c r="Y348" s="2"/>
      <c r="Z348" s="30"/>
      <c r="AA348" s="24" t="s">
        <v>20</v>
      </c>
      <c r="AB348" s="3" t="e">
        <f>VLOOKUP($T333,$T336:$W350,3,FALSE)</f>
        <v>#N/A</v>
      </c>
      <c r="AC348" s="17" t="e">
        <f>VLOOKUP($T333,$T336:$W350,4,FALSE)</f>
        <v>#N/A</v>
      </c>
      <c r="AD348" s="25" t="e">
        <f>AC348-AC347</f>
        <v>#N/A</v>
      </c>
      <c r="AE348" s="38"/>
    </row>
    <row r="349" spans="1:31" ht="13.5" thickTop="1">
      <c r="A349" s="47"/>
      <c r="B349" s="50"/>
      <c r="H349" s="2"/>
      <c r="I349" s="48"/>
      <c r="J349" s="2"/>
      <c r="K349" s="31"/>
      <c r="L349" s="6"/>
      <c r="M349" s="11"/>
      <c r="N349" s="11"/>
      <c r="O349" s="6"/>
      <c r="P349" s="38"/>
      <c r="Q349" s="47"/>
      <c r="R349" s="50"/>
      <c r="W349" s="1"/>
      <c r="X349" s="38"/>
      <c r="Y349" s="2"/>
      <c r="Z349" s="31"/>
      <c r="AA349" s="6"/>
      <c r="AB349" s="11"/>
      <c r="AC349" s="11"/>
      <c r="AD349" s="6"/>
      <c r="AE349" s="38"/>
    </row>
    <row r="350" spans="1:31" ht="13.5" thickBot="1">
      <c r="A350" s="47"/>
      <c r="B350" s="50"/>
      <c r="H350" s="2"/>
      <c r="I350" s="48"/>
      <c r="J350" s="2"/>
      <c r="K350" s="27"/>
      <c r="L350" s="2"/>
      <c r="M350" s="2"/>
      <c r="N350" s="2"/>
      <c r="O350" s="2"/>
      <c r="P350" s="38"/>
      <c r="Q350" s="47"/>
      <c r="R350" s="50"/>
      <c r="W350" s="1"/>
      <c r="X350" s="38"/>
      <c r="Y350" s="2"/>
      <c r="Z350" s="27"/>
      <c r="AA350" s="2"/>
      <c r="AB350" s="2"/>
      <c r="AC350" s="2"/>
      <c r="AD350" s="2"/>
      <c r="AE350" s="38"/>
    </row>
    <row r="351" spans="1:31" ht="13.5" thickTop="1">
      <c r="A351" s="47"/>
      <c r="B351" s="48"/>
      <c r="C351" s="32"/>
      <c r="D351" s="32" t="s">
        <v>46</v>
      </c>
      <c r="E351" s="42"/>
      <c r="F351" s="32" t="s">
        <v>47</v>
      </c>
      <c r="G351" s="33"/>
      <c r="H351" s="2"/>
      <c r="I351" s="48"/>
      <c r="J351" s="2"/>
      <c r="K351" s="27"/>
      <c r="L351" s="2"/>
      <c r="M351" s="2"/>
      <c r="N351" s="2"/>
      <c r="O351" s="2"/>
      <c r="P351" s="38"/>
      <c r="Q351" s="47"/>
      <c r="R351" s="48"/>
      <c r="S351" s="32"/>
      <c r="T351" s="32" t="s">
        <v>46</v>
      </c>
      <c r="U351" s="42"/>
      <c r="V351" s="32" t="s">
        <v>47</v>
      </c>
      <c r="W351" s="33"/>
      <c r="X351" s="38"/>
      <c r="Y351" s="2"/>
      <c r="Z351" s="27"/>
      <c r="AA351" s="2"/>
      <c r="AB351" s="2"/>
      <c r="AC351" s="2"/>
      <c r="AD351" s="2"/>
      <c r="AE351" s="38"/>
    </row>
  </sheetData>
  <phoneticPr fontId="11" type="noConversion"/>
  <pageMargins left="7.874015748031496E-2" right="0.74803149606299213" top="7.874015748031496E-2" bottom="0.98425196850393704" header="0.51181102362204722" footer="0.51181102362204722"/>
  <pageSetup paperSize="9" scale="27" fitToWidth="3" fitToHeight="3" orientation="landscape" horizontalDpi="4294967292" verticalDpi="4294967292" r:id="rId1"/>
  <headerFooter alignWithMargins="0"/>
  <ignoredErrors>
    <ignoredError sqref="N1194:N2010 M352:M1193 O404:O1193 N352:N1193" emptyCellReference="1"/>
    <ignoredError sqref="O352:O403" formula="1" emptyCellReferenc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Update_Realm">
                <anchor moveWithCells="1">
                  <from>
                    <xdr:col>2</xdr:col>
                    <xdr:colOff>1219200</xdr:colOff>
                    <xdr:row>0</xdr:row>
                    <xdr:rowOff>200025</xdr:rowOff>
                  </from>
                  <to>
                    <xdr:col>3</xdr:col>
                    <xdr:colOff>1990725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_Realm">
                <anchor moveWithCells="1">
                  <from>
                    <xdr:col>5</xdr:col>
                    <xdr:colOff>238125</xdr:colOff>
                    <xdr:row>0</xdr:row>
                    <xdr:rowOff>200025</xdr:rowOff>
                  </from>
                  <to>
                    <xdr:col>10</xdr:col>
                    <xdr:colOff>800100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News</vt:lpstr>
      <vt:lpstr>NW - Realm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Georgina Saroukos User</dc:creator>
  <cp:lastModifiedBy>Kristine</cp:lastModifiedBy>
  <dcterms:created xsi:type="dcterms:W3CDTF">2009-07-20T10:14:03Z</dcterms:created>
  <dcterms:modified xsi:type="dcterms:W3CDTF">2019-09-20T04:26:16Z</dcterms:modified>
</cp:coreProperties>
</file>